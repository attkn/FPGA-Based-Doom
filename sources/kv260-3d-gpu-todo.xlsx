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apılacaklar" sheetId="1" state="visible" r:id="rId3"/>
    <sheet name="Özet" sheetId="2" state="visible" r:id="rId4"/>
    <sheet name="Fazlar" sheetId="3" state="visible" r:id="rId5"/>
  </sheets>
  <definedNames>
    <definedName function="false" hidden="true" localSheetId="0" name="_xlnm._FilterDatabase" vbProcedure="false">Yapılacaklar!$A$2:$J$65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<sst xmlns="http://schemas.openxmlformats.org/spreadsheetml/2006/main" count="653" uniqueCount="281">
  <si>
    <t xml:space="preserve">KV260 3D GPU  —  Yapılacaklar Listesi</t>
  </si>
  <si>
    <t xml:space="preserve">ID</t>
  </si>
  <si>
    <t xml:space="preserve">Faz</t>
  </si>
  <si>
    <t xml:space="preserve">Görev</t>
  </si>
  <si>
    <t xml:space="preserve">Detay / açıklama</t>
  </si>
  <si>
    <t xml:space="preserve">Kategori</t>
  </si>
  <si>
    <t xml:space="preserve">Öncelik</t>
  </si>
  <si>
    <t xml:space="preserve">Tahmini</t>
  </si>
  <si>
    <t xml:space="preserve">Bağımlılık</t>
  </si>
  <si>
    <t xml:space="preserve">Durum</t>
  </si>
  <si>
    <t xml:space="preserve">Not</t>
  </si>
  <si>
    <t xml:space="preserve">F0-1</t>
  </si>
  <si>
    <t xml:space="preserve">Faz 0</t>
  </si>
  <si>
    <t xml:space="preserve">Araç zinciri kurulumu</t>
  </si>
  <si>
    <t xml:space="preserve">Vivado + Vitis + PetaLinux (uyumlu sürüm) makineye kur; lisans/erişim doğrula</t>
  </si>
  <si>
    <t xml:space="preserve">Platform/Kurulum</t>
  </si>
  <si>
    <t xml:space="preserve">Yüksek</t>
  </si>
  <si>
    <t xml:space="preserve">1 gün</t>
  </si>
  <si>
    <t xml:space="preserve">Yapılacak</t>
  </si>
  <si>
    <t xml:space="preserve">F0-2</t>
  </si>
  <si>
    <t xml:space="preserve">Ubuntu image flash &amp; boot</t>
  </si>
  <si>
    <t xml:space="preserve">Certified Ubuntu for Kria SD image'ini indir, flash et, KV260'ı boot et</t>
  </si>
  <si>
    <t xml:space="preserve">0.5 gün</t>
  </si>
  <si>
    <t xml:space="preserve">F0-3</t>
  </si>
  <si>
    <t xml:space="preserve">İlk boot doğrulama</t>
  </si>
  <si>
    <t xml:space="preserve">UART console + Ethernet/SSH erişimi; sistem sağlığı kontrolü</t>
  </si>
  <si>
    <t xml:space="preserve">F0-4</t>
  </si>
  <si>
    <t xml:space="preserve">HDMI test pattern (DRM/KMS)</t>
  </si>
  <si>
    <t xml:space="preserve">modetest ile bir framebuffer'ı HDMI'dan ekrana bastır</t>
  </si>
  <si>
    <t xml:space="preserve">Video/HDMI</t>
  </si>
  <si>
    <t xml:space="preserve">En kritik erken kanıt</t>
  </si>
  <si>
    <t xml:space="preserve">F0-5</t>
  </si>
  <si>
    <t xml:space="preserve">Minimal PL AXI-Lite peripheral</t>
  </si>
  <si>
    <t xml:space="preserve">Vivado block design: bir register bloğu (AXI-Lite slave) sentezle</t>
  </si>
  <si>
    <t xml:space="preserve">Donanım (PL)</t>
  </si>
  <si>
    <t xml:space="preserve">F0-6</t>
  </si>
  <si>
    <t xml:space="preserve">Bitstream'i Kria app olarak yükle</t>
  </si>
  <si>
    <t xml:space="preserve">fpga-manager/xmutil + device-tree overlay ile PL tasarımını Linux'a bağla</t>
  </si>
  <si>
    <t xml:space="preserve">1-2 gün</t>
  </si>
  <si>
    <t xml:space="preserve">F0-5, F0-2</t>
  </si>
  <si>
    <t xml:space="preserve">Kria'ya özel akış</t>
  </si>
  <si>
    <t xml:space="preserve">F0-7</t>
  </si>
  <si>
    <t xml:space="preserve">PS↔PL register erişimi</t>
  </si>
  <si>
    <t xml:space="preserve">ARM'dan AXI-Lite register oku/yaz (devmem / basit C); PS↔PL hattı kanıtı</t>
  </si>
  <si>
    <t xml:space="preserve">Test/Doğrulama</t>
  </si>
  <si>
    <t xml:space="preserve">F0-8</t>
  </si>
  <si>
    <t xml:space="preserve">Simülasyon ortamı</t>
  </si>
  <si>
    <t xml:space="preserve">Verilator + cocotb kur; minimal testbench koştur</t>
  </si>
  <si>
    <t xml:space="preserve">F0-9</t>
  </si>
  <si>
    <t xml:space="preserve">Repo &amp; proje iskeleti</t>
  </si>
  <si>
    <t xml:space="preserve">Git repo, dizin yapısı (rtl/ sw/ sim/ docs/), README</t>
  </si>
  <si>
    <t xml:space="preserve">Orta</t>
  </si>
  <si>
    <t xml:space="preserve">F1-1</t>
  </si>
  <si>
    <t xml:space="preserve">Faz 1</t>
  </si>
  <si>
    <t xml:space="preserve">Vektör/matris kütüphanesi</t>
  </si>
  <si>
    <t xml:space="preserve">vec3/vec4/mat4; MVP, perspective, lookAt yardımcıları (C)</t>
  </si>
  <si>
    <t xml:space="preserve">Yazılım (PS)</t>
  </si>
  <si>
    <t xml:space="preserve">F1-2</t>
  </si>
  <si>
    <t xml:space="preserve">Geometri yükleme</t>
  </si>
  <si>
    <t xml:space="preserve">Hardcoded küp + basit OBJ okuyucu (vertex + UV + normal)</t>
  </si>
  <si>
    <t xml:space="preserve">F1-3</t>
  </si>
  <si>
    <t xml:space="preserve">Transform + viewport (SW)</t>
  </si>
  <si>
    <t xml:space="preserve">MVP → clip → perspective divide → NDC → ekran koordinatı</t>
  </si>
  <si>
    <t xml:space="preserve">F1-4</t>
  </si>
  <si>
    <t xml:space="preserve">Edge-function rasterizer (SW)</t>
  </si>
  <si>
    <t xml:space="preserve">Bounding box + edge-function kapsama, yazılımda</t>
  </si>
  <si>
    <t xml:space="preserve">F1-5</t>
  </si>
  <si>
    <t xml:space="preserve">Perspektif-doğru interpolasyon (SW)</t>
  </si>
  <si>
    <t xml:space="preserve">Barycentric + 1/w ile u, v, z, ışık</t>
  </si>
  <si>
    <t xml:space="preserve">F1-6</t>
  </si>
  <si>
    <t xml:space="preserve">Doku örnekleme (nearest, SW)</t>
  </si>
  <si>
    <t xml:space="preserve">Texel fetch + modülasyon</t>
  </si>
  <si>
    <t xml:space="preserve">F1-7</t>
  </si>
  <si>
    <t xml:space="preserve">Gouraud diffuse ışık (SW)</t>
  </si>
  <si>
    <t xml:space="preserve">Köşe ışığı + interpolasyon</t>
  </si>
  <si>
    <t xml:space="preserve">F1-8</t>
  </si>
  <si>
    <t xml:space="preserve">Z-buffer (SW)</t>
  </si>
  <si>
    <t xml:space="preserve">Derinlik testi</t>
  </si>
  <si>
    <t xml:space="preserve">F1-9</t>
  </si>
  <si>
    <t xml:space="preserve">DRM framebuffer'a çizim</t>
  </si>
  <si>
    <t xml:space="preserve">Yazılım renderer çıktısını HDMI'a bastır</t>
  </si>
  <si>
    <t xml:space="preserve">F1-4, F0-4</t>
  </si>
  <si>
    <t xml:space="preserve">F1-10</t>
  </si>
  <si>
    <t xml:space="preserve">Kamera + input (evdev)</t>
  </si>
  <si>
    <t xml:space="preserve">Klavye/gamepad ile gezilebilir sahne (yazılım)</t>
  </si>
  <si>
    <t xml:space="preserve">F1-11</t>
  </si>
  <si>
    <t xml:space="preserve">Golden model dump</t>
  </si>
  <si>
    <t xml:space="preserve">Referans piksel/attribute çıktısı — donanım karşılaştırması için</t>
  </si>
  <si>
    <t xml:space="preserve">Tüm HW doğrulamalarının temeli</t>
  </si>
  <si>
    <t xml:space="preserve">F2-1</t>
  </si>
  <si>
    <t xml:space="preserve">Faz 2</t>
  </si>
  <si>
    <t xml:space="preserve">DDR4 framebuffer bölgesi</t>
  </si>
  <si>
    <t xml:space="preserve">PS'te bellek ayır (CMA/reserved-mem), fiziksel adresi PL'e paylaş</t>
  </si>
  <si>
    <t xml:space="preserve">Bellek/DDR4</t>
  </si>
  <si>
    <t xml:space="preserve">F2-2</t>
  </si>
  <si>
    <t xml:space="preserve">PL AXI master (HP) yazma</t>
  </si>
  <si>
    <t xml:space="preserve">DDR4'e burst-write yapan AXI master modülü</t>
  </si>
  <si>
    <t xml:space="preserve">2-3 gün</t>
  </si>
  <si>
    <t xml:space="preserve">F2-3</t>
  </si>
  <si>
    <t xml:space="preserve">PL test pattern yazma</t>
  </si>
  <si>
    <t xml:space="preserve">PL framebuffer'a bir desen yazsın</t>
  </si>
  <si>
    <t xml:space="preserve">F2-2, F2-1</t>
  </si>
  <si>
    <t xml:space="preserve">F2-4</t>
  </si>
  <si>
    <t xml:space="preserve">DRM scanout entegrasyonu</t>
  </si>
  <si>
    <t xml:space="preserve">O framebuffer'ı DRM/KMS ile tara</t>
  </si>
  <si>
    <t xml:space="preserve">F2-3, F1-9</t>
  </si>
  <si>
    <t xml:space="preserve">F2-5</t>
  </si>
  <si>
    <t xml:space="preserve">PL→DDR4→HDMI doğrulama</t>
  </si>
  <si>
    <t xml:space="preserve">Uçtan uca yol kanıtı</t>
  </si>
  <si>
    <t xml:space="preserve">F2-6</t>
  </si>
  <si>
    <t xml:space="preserve">AXI master simülasyonu</t>
  </si>
  <si>
    <t xml:space="preserve">cocotb + AXI model ile master'ı doğrula</t>
  </si>
  <si>
    <t xml:space="preserve">F2-2, F0-8</t>
  </si>
  <si>
    <t xml:space="preserve">F3-1</t>
  </si>
  <si>
    <t xml:space="preserve">Faz 3</t>
  </si>
  <si>
    <t xml:space="preserve">Fixed-point (Q16.16) altyapı</t>
  </si>
  <si>
    <t xml:space="preserve">Format, yardımcılar, taşma/aralık analizi</t>
  </si>
  <si>
    <t xml:space="preserve">F3-2</t>
  </si>
  <si>
    <t xml:space="preserve">Triangle setup modülü</t>
  </si>
  <si>
    <t xml:space="preserve">Edge katsayıları + bounding box</t>
  </si>
  <si>
    <t xml:space="preserve">F3-3</t>
  </si>
  <si>
    <t xml:space="preserve">Edge-function evaluator</t>
  </si>
  <si>
    <t xml:space="preserve">İnkremental adder tabanlı kapsama testi</t>
  </si>
  <si>
    <t xml:space="preserve">F3-4</t>
  </si>
  <si>
    <t xml:space="preserve">Bbox iterator FSM</t>
  </si>
  <si>
    <t xml:space="preserve">Piksel tarama kontrolü</t>
  </si>
  <si>
    <t xml:space="preserve">F3-5</t>
  </si>
  <si>
    <t xml:space="preserve">Flat renk + fb writer bağlama</t>
  </si>
  <si>
    <t xml:space="preserve">Düz renkli fragment → framebuffer</t>
  </si>
  <si>
    <t xml:space="preserve">F3-4, F2-2</t>
  </si>
  <si>
    <t xml:space="preserve">F3-6</t>
  </si>
  <si>
    <t xml:space="preserve">Komut buffer (minimal)</t>
  </si>
  <si>
    <t xml:space="preserve">PS ekran-uzayı üçgeni beslesin</t>
  </si>
  <si>
    <t xml:space="preserve">F3-7</t>
  </si>
  <si>
    <t xml:space="preserve">İlk üçgen doğrulama</t>
  </si>
  <si>
    <t xml:space="preserve">cocotb + golden model karşılaştırma</t>
  </si>
  <si>
    <t xml:space="preserve">F3-5, F1-11</t>
  </si>
  <si>
    <t xml:space="preserve">İlk donanım üçgeni — milestone</t>
  </si>
  <si>
    <t xml:space="preserve">F4-1</t>
  </si>
  <si>
    <t xml:space="preserve">Faz 4</t>
  </si>
  <si>
    <t xml:space="preserve">Interpolator modülü</t>
  </si>
  <si>
    <t xml:space="preserve">Barycentric + 1/w + attr/w</t>
  </si>
  <si>
    <t xml:space="preserve">2 gün</t>
  </si>
  <si>
    <t xml:space="preserve">F4-2</t>
  </si>
  <si>
    <t xml:space="preserve">Per-pixel reciprocal</t>
  </si>
  <si>
    <t xml:space="preserve">Pipelined divider / Newton-Raphson</t>
  </si>
  <si>
    <t xml:space="preserve">F4-3</t>
  </si>
  <si>
    <t xml:space="preserve">Texture unit — adresleme</t>
  </si>
  <si>
    <t xml:space="preserve">UV → texel adresi</t>
  </si>
  <si>
    <t xml:space="preserve">F4-4</t>
  </si>
  <si>
    <t xml:space="preserve">Texture cache (BRAM/URAM)</t>
  </si>
  <si>
    <t xml:space="preserve">On-chip cache + miss'te AXI fetch</t>
  </si>
  <si>
    <t xml:space="preserve">F4-3, F2-2</t>
  </si>
  <si>
    <t xml:space="preserve">F4-5</t>
  </si>
  <si>
    <t xml:space="preserve">Nearest sampling</t>
  </si>
  <si>
    <t xml:space="preserve">Texel örnekleme</t>
  </si>
  <si>
    <t xml:space="preserve">F4-6</t>
  </si>
  <si>
    <t xml:space="preserve">Dokulu üçgen doğrulama</t>
  </si>
  <si>
    <t xml:space="preserve">Golden model karşılaştırma</t>
  </si>
  <si>
    <t xml:space="preserve">F4-5, F1-11</t>
  </si>
  <si>
    <t xml:space="preserve">F5-1</t>
  </si>
  <si>
    <t xml:space="preserve">Faz 5</t>
  </si>
  <si>
    <t xml:space="preserve">DDR4 z-buffer bölgesi</t>
  </si>
  <si>
    <t xml:space="preserve">Alloc + adres</t>
  </si>
  <si>
    <t xml:space="preserve">F5-2</t>
  </si>
  <si>
    <t xml:space="preserve">Depth unit (read-modify-write)</t>
  </si>
  <si>
    <t xml:space="preserve">Oku-karşılaştır-yaz</t>
  </si>
  <si>
    <t xml:space="preserve">F4-1, F5-1</t>
  </si>
  <si>
    <t xml:space="preserve">F5-3</t>
  </si>
  <si>
    <t xml:space="preserve">Depth/tile cache</t>
  </si>
  <si>
    <t xml:space="preserve">DDR trafiğini azalt</t>
  </si>
  <si>
    <t xml:space="preserve">F5-4</t>
  </si>
  <si>
    <t xml:space="preserve">Occlusion doğrulama</t>
  </si>
  <si>
    <t xml:space="preserve">Üst üste binen geometri testi</t>
  </si>
  <si>
    <t xml:space="preserve">F6-1</t>
  </si>
  <si>
    <t xml:space="preserve">Faz 6</t>
  </si>
  <si>
    <t xml:space="preserve">Per-vertex ışık</t>
  </si>
  <si>
    <t xml:space="preserve">Köşe ışık hesabı (PS/setup)</t>
  </si>
  <si>
    <t xml:space="preserve">F6-2</t>
  </si>
  <si>
    <t xml:space="preserve">Işık interpolasyonu</t>
  </si>
  <si>
    <t xml:space="preserve">Interpolator'a ışık ekle</t>
  </si>
  <si>
    <t xml:space="preserve">F6-3</t>
  </si>
  <si>
    <t xml:space="preserve">Shader/blend</t>
  </si>
  <si>
    <t xml:space="preserve">Doku × ışık modülasyon</t>
  </si>
  <si>
    <t xml:space="preserve">F6-2, F4-5</t>
  </si>
  <si>
    <t xml:space="preserve">F6-4</t>
  </si>
  <si>
    <t xml:space="preserve">Tam fragment doğrulama</t>
  </si>
  <si>
    <t xml:space="preserve">Işıklı-dokulu golden karşılaştırma</t>
  </si>
  <si>
    <t xml:space="preserve">F7-1</t>
  </si>
  <si>
    <t xml:space="preserve">Faz 7</t>
  </si>
  <si>
    <t xml:space="preserve">4×4 MAC dizisi (DSP)</t>
  </si>
  <si>
    <t xml:space="preserve">MVP transform donanımda</t>
  </si>
  <si>
    <t xml:space="preserve">F7-2</t>
  </si>
  <si>
    <t xml:space="preserve">Perspective divide (HW)</t>
  </si>
  <si>
    <t xml:space="preserve">Pipelined reciprocal</t>
  </si>
  <si>
    <t xml:space="preserve">F7-3</t>
  </si>
  <si>
    <t xml:space="preserve">Viewport transform (HW)</t>
  </si>
  <si>
    <t xml:space="preserve">NDC → ekran</t>
  </si>
  <si>
    <t xml:space="preserve">F7-4</t>
  </si>
  <si>
    <t xml:space="preserve">Near-plane clipping unit</t>
  </si>
  <si>
    <t xml:space="preserve">Kamera arkası üçgen kırpma</t>
  </si>
  <si>
    <t xml:space="preserve">F7-5</t>
  </si>
  <si>
    <t xml:space="preserve">Backface culling</t>
  </si>
  <si>
    <t xml:space="preserve">Winding order testi</t>
  </si>
  <si>
    <t xml:space="preserve">F7-6</t>
  </si>
  <si>
    <t xml:space="preserve">Komut buffer (model-uzayı)</t>
  </si>
  <si>
    <t xml:space="preserve">PS artık model geometri + matris versin</t>
  </si>
  <si>
    <t xml:space="preserve">F7-7</t>
  </si>
  <si>
    <t xml:space="preserve">Tam-PL geometry doğrulama</t>
  </si>
  <si>
    <t xml:space="preserve">Golden karşılaştırma</t>
  </si>
  <si>
    <t xml:space="preserve">F7-4, F1-11</t>
  </si>
  <si>
    <t xml:space="preserve">Artık tam GPU</t>
  </si>
  <si>
    <t xml:space="preserve">F8-1</t>
  </si>
  <si>
    <t xml:space="preserve">Faz 8</t>
  </si>
  <si>
    <t xml:space="preserve">Double-buffer + page-flip</t>
  </si>
  <si>
    <t xml:space="preserve">Vblank senkron buffer değişimi</t>
  </si>
  <si>
    <t xml:space="preserve">F8-2</t>
  </si>
  <si>
    <t xml:space="preserve">PL done IRQ → PS</t>
  </si>
  <si>
    <t xml:space="preserve">Kesme ile senkron</t>
  </si>
  <si>
    <t xml:space="preserve">F8-3</t>
  </si>
  <si>
    <t xml:space="preserve">Ping-pong komut buffer</t>
  </si>
  <si>
    <t xml:space="preserve">Frame N+1 kurulurken N render</t>
  </si>
  <si>
    <t xml:space="preserve">F8-4</t>
  </si>
  <si>
    <t xml:space="preserve">Oyun mantığı</t>
  </si>
  <si>
    <t xml:space="preserve">Input, kamera, sahne, çarpışma</t>
  </si>
  <si>
    <t xml:space="preserve">1 hafta</t>
  </si>
  <si>
    <t xml:space="preserve">F1-10, F8-3</t>
  </si>
  <si>
    <t xml:space="preserve">F8-5</t>
  </si>
  <si>
    <t xml:space="preserve">Performans profilleme</t>
  </si>
  <si>
    <t xml:space="preserve">Bandwidth ölçümü, FPS sayacı</t>
  </si>
  <si>
    <t xml:space="preserve">F8-6</t>
  </si>
  <si>
    <t xml:space="preserve">Cache &amp; pipeline tuning</t>
  </si>
  <si>
    <t xml:space="preserve">Texture/depth cache, pipeline derinliği</t>
  </si>
  <si>
    <t xml:space="preserve">Optimizasyon</t>
  </si>
  <si>
    <t xml:space="preserve">F8-7</t>
  </si>
  <si>
    <t xml:space="preserve">480p → 720p ölçekleme</t>
  </si>
  <si>
    <t xml:space="preserve">Hedef çözünürlüğe geçiş</t>
  </si>
  <si>
    <t xml:space="preserve">F8-8</t>
  </si>
  <si>
    <t xml:space="preserve">(Stretch) Bilinear filtre</t>
  </si>
  <si>
    <t xml:space="preserve">Doku kalitesi</t>
  </si>
  <si>
    <t xml:space="preserve">Düşük</t>
  </si>
  <si>
    <t xml:space="preserve">F8-9</t>
  </si>
  <si>
    <t xml:space="preserve">(Stretch) Per-pixel ışık</t>
  </si>
  <si>
    <t xml:space="preserve">Phong-tarzı gölgeleme</t>
  </si>
  <si>
    <t xml:space="preserve">Özet ve İlerleme</t>
  </si>
  <si>
    <t xml:space="preserve">Nasıl kullanılır: 'Yapılacaklar' sekmesinde düzenlenecek sütunlar → Durum (açılır liste) ve Not. Durum seçenekleri: Yapılacak · Devam ediyor · Bloke · Tamam. Diğer sütunlar plandır. Süreler kabaca tahmindir.</t>
  </si>
  <si>
    <t xml:space="preserve">Toplam görev</t>
  </si>
  <si>
    <t xml:space="preserve">Tamam</t>
  </si>
  <si>
    <t xml:space="preserve">Devam ediyor</t>
  </si>
  <si>
    <t xml:space="preserve">Bloke</t>
  </si>
  <si>
    <t xml:space="preserve">Tamamlanma %</t>
  </si>
  <si>
    <t xml:space="preserve">Tema</t>
  </si>
  <si>
    <t xml:space="preserve">Toplam</t>
  </si>
  <si>
    <t xml:space="preserve">%</t>
  </si>
  <si>
    <t xml:space="preserve">Platform bring-up</t>
  </si>
  <si>
    <t xml:space="preserve">Yazılım referans renderer (golden model)</t>
  </si>
  <si>
    <t xml:space="preserve">PL → DDR4 → HDMI yolu</t>
  </si>
  <si>
    <t xml:space="preserve">PL 2D üçgen rasterizer (flat)</t>
  </si>
  <si>
    <t xml:space="preserve">Perspektif-doğru + doku</t>
  </si>
  <si>
    <t xml:space="preserve">Z-buffer + depth cache</t>
  </si>
  <si>
    <t xml:space="preserve">Işık + fragment shading</t>
  </si>
  <si>
    <t xml:space="preserve">Geometry aşaması PL'e (tam GPU)</t>
  </si>
  <si>
    <t xml:space="preserve">Oyun + double-buffer + optimizasyon</t>
  </si>
  <si>
    <t xml:space="preserve">Faz Milestone'ları</t>
  </si>
  <si>
    <t xml:space="preserve">Hedef çıktı (milestone)</t>
  </si>
  <si>
    <t xml:space="preserve">Ubuntu + HDMI test pattern; AXI hello-world; sim ortamı hazır</t>
  </si>
  <si>
    <t xml:space="preserve">Yazılım referans renderer</t>
  </si>
  <si>
    <t xml:space="preserve">Tüm pipeline C'de → HDMI (golden model); gezilebilir sahne (SW)</t>
  </si>
  <si>
    <t xml:space="preserve">PL → DDR4 → HDMI</t>
  </si>
  <si>
    <t xml:space="preserve">PL framebuffer'a yazar, DRM tarar; uçtan uca video yolu kanıtlı</t>
  </si>
  <si>
    <t xml:space="preserve">PL 2D rasterizer</t>
  </si>
  <si>
    <t xml:space="preserve">Edge-function core; donanımda ilk (flat) üçgen</t>
  </si>
  <si>
    <t xml:space="preserve">Interpolasyon + texture unit/cache; dokulu üçgen</t>
  </si>
  <si>
    <t xml:space="preserve">Z-buffer</t>
  </si>
  <si>
    <t xml:space="preserve">Depth unit + cache; doğru occlusion</t>
  </si>
  <si>
    <t xml:space="preserve">Işık + shading</t>
  </si>
  <si>
    <t xml:space="preserve">Gouraud ışık; tam ışıklı-dokulu fragment</t>
  </si>
  <si>
    <t xml:space="preserve">Geometry PL'e</t>
  </si>
  <si>
    <t xml:space="preserve">MVP + persp divide + clip + cull donanımda; tam GPU</t>
  </si>
  <si>
    <t xml:space="preserve">Oyun + optimizasyon</t>
  </si>
  <si>
    <t xml:space="preserve">Double-buffer, IRQ, oyun döngüsü, tuning; gezilebilir mini oyun @ hedef FPS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</si>
</sst>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1A202C"/>
      <name val="Arial"/>
      <family val="0"/>
      <charset val="1"/>
    </font>
    <font>
      <sz val="8.5"/>
      <color rgb="FF5A6577"/>
      <name val="Arial"/>
      <family val="0"/>
      <charset val="1"/>
    </font>
    <font>
      <b val="true"/>
      <sz val="10"/>
      <color rgb="FF1A202C"/>
      <name val="Arial"/>
      <family val="0"/>
      <charset val="1"/>
    </font>
    <font>
      <sz val="10"/>
      <color rgb="FF1E6B2F"/>
      <name val="Arial"/>
      <family val="0"/>
      <charset val="1"/>
    </font>
    <font>
      <sz val="10"/>
      <color rgb="FF7A5A12"/>
      <name val="Arial"/>
      <family val="0"/>
      <charset val="1"/>
    </font>
    <font>
      <sz val="10"/>
      <color rgb="FF9C2A22"/>
      <name val="Arial"/>
      <family val="0"/>
      <charset val="1"/>
    </font>
    <font>
      <sz val="10"/>
      <color rgb="FF5A6577"/>
      <name val="Arial"/>
      <family val="0"/>
      <charset val="1"/>
    </font>
    <font>
      <b val="true"/>
      <sz val="9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9EEF4"/>
        <bgColor rgb="FFEFF1F3"/>
      </patternFill>
    </fill>
    <fill>
      <patternFill patternType="solid">
        <fgColor rgb="FF1F3A5F"/>
        <bgColor rgb="FF333399"/>
      </patternFill>
    </fill>
    <fill>
      <patternFill patternType="solid">
        <fgColor rgb="FFF5F7F9"/>
        <bgColor rgb="FFEFF1F3"/>
      </patternFill>
    </fill>
    <fill>
      <patternFill patternType="solid">
        <fgColor rgb="FFC6EFCE"/>
        <bgColor rgb="FFD7DCE3"/>
      </patternFill>
    </fill>
    <fill>
      <patternFill patternType="solid">
        <fgColor rgb="FFFFEB9C"/>
        <bgColor rgb="FFEFF1F3"/>
      </patternFill>
    </fill>
    <fill>
      <patternFill patternType="solid">
        <fgColor rgb="FFFFC7CE"/>
        <bgColor rgb="FFD7DCE3"/>
      </patternFill>
    </fill>
    <fill>
      <patternFill patternType="solid">
        <fgColor rgb="FFEFF1F3"/>
        <bgColor rgb="FFE9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5F7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02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F1F3"/>
          <bgColor rgb="FF000000"/>
        </patternFill>
      </fill>
    </dxf>
    <dxf>
      <fill>
        <patternFill patternType="solid">
          <fgColor rgb="FF5A6577"/>
          <bgColor rgb="FF000000"/>
        </patternFill>
      </fill>
    </dxf>
    <dxf>
      <font>
        <name val="Arial"/>
        <charset val="1"/>
        <family val="0"/>
        <color rgb="FF1E6B2F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7A5A12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2A22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5A6577"/>
        <sz val="9"/>
      </font>
      <fill>
        <patternFill>
          <bgColor rgb="FFEFF1F3"/>
        </patternFill>
      </fill>
    </dxf>
    <dxf>
      <font>
        <name val="Arial"/>
        <charset val="1"/>
        <family val="0"/>
        <color rgb="FF9C2A22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7A5A12"/>
      <rgbColor rgb="FF800080"/>
      <rgbColor rgb="FF008080"/>
      <rgbColor rgb="FFC0C0C0"/>
      <rgbColor rgb="FF808080"/>
      <rgbColor rgb="FF9999FF"/>
      <rgbColor rgb="FF993366"/>
      <rgbColor rgb="FFF5F7F9"/>
      <rgbColor rgb="FFE9EEF4"/>
      <rgbColor rgb="FF660066"/>
      <rgbColor rgb="FFFF8080"/>
      <rgbColor rgb="FF0066CC"/>
      <rgbColor rgb="FFD7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1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6577"/>
      <rgbColor rgb="FF969696"/>
      <rgbColor rgb="FF1F3A5F"/>
      <rgbColor rgb="FF339966"/>
      <rgbColor rgb="FF003300"/>
      <rgbColor rgb="FF333300"/>
      <rgbColor rgb="FF9C2A22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2.35" hidden="false" customHeight="false" outlineLevel="0" collapsed="false">
      <c r="A3" s="3" t="s">
        <v>11</v>
      </c>
      <c r="B3" s="3" t="s">
        <v>12</v>
      </c>
      <c r="C3" s="4" t="s">
        <v>13</v>
      </c>
      <c r="D3" s="5" t="s">
        <v>14</v>
      </c>
      <c r="E3" s="4" t="s">
        <v>15</v>
      </c>
      <c r="F3" s="3" t="s">
        <v>16</v>
      </c>
      <c r="G3" s="3" t="s">
        <v>17</v>
      </c>
      <c r="H3" s="4"/>
      <c r="I3" s="3" t="s">
        <v>18</v>
      </c>
      <c r="J3" s="5"/>
    </row>
    <row r="4" customFormat="false" ht="15" hidden="false" customHeight="false" outlineLevel="0" collapsed="false">
      <c r="A4" s="6" t="s">
        <v>19</v>
      </c>
      <c r="B4" s="6" t="s">
        <v>12</v>
      </c>
      <c r="C4" s="7" t="s">
        <v>20</v>
      </c>
      <c r="D4" s="8" t="s">
        <v>21</v>
      </c>
      <c r="E4" s="7" t="s">
        <v>15</v>
      </c>
      <c r="F4" s="6" t="s">
        <v>16</v>
      </c>
      <c r="G4" s="6" t="s">
        <v>22</v>
      </c>
      <c r="H4" s="7" t="s">
        <v>11</v>
      </c>
      <c r="I4" s="6" t="s">
        <v>18</v>
      </c>
      <c r="J4" s="8"/>
    </row>
    <row r="5" customFormat="false" ht="15" hidden="false" customHeight="false" outlineLevel="0" collapsed="false">
      <c r="A5" s="3" t="s">
        <v>23</v>
      </c>
      <c r="B5" s="3" t="s">
        <v>12</v>
      </c>
      <c r="C5" s="4" t="s">
        <v>24</v>
      </c>
      <c r="D5" s="5" t="s">
        <v>25</v>
      </c>
      <c r="E5" s="4" t="s">
        <v>15</v>
      </c>
      <c r="F5" s="3" t="s">
        <v>16</v>
      </c>
      <c r="G5" s="3" t="s">
        <v>22</v>
      </c>
      <c r="H5" s="4" t="s">
        <v>19</v>
      </c>
      <c r="I5" s="3" t="s">
        <v>18</v>
      </c>
      <c r="J5" s="5"/>
    </row>
    <row r="6" customFormat="false" ht="15" hidden="false" customHeight="false" outlineLevel="0" collapsed="false">
      <c r="A6" s="6" t="s">
        <v>26</v>
      </c>
      <c r="B6" s="6" t="s">
        <v>12</v>
      </c>
      <c r="C6" s="7" t="s">
        <v>27</v>
      </c>
      <c r="D6" s="8" t="s">
        <v>28</v>
      </c>
      <c r="E6" s="7" t="s">
        <v>29</v>
      </c>
      <c r="F6" s="6" t="s">
        <v>16</v>
      </c>
      <c r="G6" s="6" t="s">
        <v>17</v>
      </c>
      <c r="H6" s="7" t="s">
        <v>23</v>
      </c>
      <c r="I6" s="6" t="s">
        <v>18</v>
      </c>
      <c r="J6" s="8" t="s">
        <v>30</v>
      </c>
    </row>
    <row r="7" customFormat="false" ht="15" hidden="false" customHeight="false" outlineLevel="0" collapsed="false">
      <c r="A7" s="3" t="s">
        <v>31</v>
      </c>
      <c r="B7" s="3" t="s">
        <v>12</v>
      </c>
      <c r="C7" s="4" t="s">
        <v>32</v>
      </c>
      <c r="D7" s="5" t="s">
        <v>33</v>
      </c>
      <c r="E7" s="4" t="s">
        <v>34</v>
      </c>
      <c r="F7" s="3" t="s">
        <v>16</v>
      </c>
      <c r="G7" s="3" t="s">
        <v>17</v>
      </c>
      <c r="H7" s="4" t="s">
        <v>11</v>
      </c>
      <c r="I7" s="3" t="s">
        <v>18</v>
      </c>
      <c r="J7" s="5"/>
    </row>
    <row r="8" customFormat="false" ht="22.35" hidden="false" customHeight="false" outlineLevel="0" collapsed="false">
      <c r="A8" s="6" t="s">
        <v>35</v>
      </c>
      <c r="B8" s="6" t="s">
        <v>12</v>
      </c>
      <c r="C8" s="7" t="s">
        <v>36</v>
      </c>
      <c r="D8" s="8" t="s">
        <v>37</v>
      </c>
      <c r="E8" s="7" t="s">
        <v>15</v>
      </c>
      <c r="F8" s="6" t="s">
        <v>16</v>
      </c>
      <c r="G8" s="6" t="s">
        <v>38</v>
      </c>
      <c r="H8" s="7" t="s">
        <v>39</v>
      </c>
      <c r="I8" s="6" t="s">
        <v>18</v>
      </c>
      <c r="J8" s="8" t="s">
        <v>40</v>
      </c>
    </row>
    <row r="9" customFormat="false" ht="22.35" hidden="false" customHeight="false" outlineLevel="0" collapsed="false">
      <c r="A9" s="3" t="s">
        <v>41</v>
      </c>
      <c r="B9" s="3" t="s">
        <v>12</v>
      </c>
      <c r="C9" s="4" t="s">
        <v>42</v>
      </c>
      <c r="D9" s="5" t="s">
        <v>43</v>
      </c>
      <c r="E9" s="4" t="s">
        <v>44</v>
      </c>
      <c r="F9" s="3" t="s">
        <v>16</v>
      </c>
      <c r="G9" s="3" t="s">
        <v>22</v>
      </c>
      <c r="H9" s="4" t="s">
        <v>35</v>
      </c>
      <c r="I9" s="3" t="s">
        <v>18</v>
      </c>
      <c r="J9" s="5"/>
    </row>
    <row r="10" customFormat="false" ht="15" hidden="false" customHeight="false" outlineLevel="0" collapsed="false">
      <c r="A10" s="6" t="s">
        <v>45</v>
      </c>
      <c r="B10" s="6" t="s">
        <v>12</v>
      </c>
      <c r="C10" s="7" t="s">
        <v>46</v>
      </c>
      <c r="D10" s="8" t="s">
        <v>47</v>
      </c>
      <c r="E10" s="7" t="s">
        <v>44</v>
      </c>
      <c r="F10" s="6" t="s">
        <v>16</v>
      </c>
      <c r="G10" s="6" t="s">
        <v>17</v>
      </c>
      <c r="H10" s="7" t="s">
        <v>11</v>
      </c>
      <c r="I10" s="6" t="s">
        <v>18</v>
      </c>
      <c r="J10" s="8"/>
    </row>
    <row r="11" customFormat="false" ht="15" hidden="false" customHeight="false" outlineLevel="0" collapsed="false">
      <c r="A11" s="3" t="s">
        <v>48</v>
      </c>
      <c r="B11" s="3" t="s">
        <v>12</v>
      </c>
      <c r="C11" s="4" t="s">
        <v>49</v>
      </c>
      <c r="D11" s="5" t="s">
        <v>50</v>
      </c>
      <c r="E11" s="4" t="s">
        <v>15</v>
      </c>
      <c r="F11" s="3" t="s">
        <v>51</v>
      </c>
      <c r="G11" s="3" t="s">
        <v>22</v>
      </c>
      <c r="H11" s="4"/>
      <c r="I11" s="3" t="s">
        <v>18</v>
      </c>
      <c r="J11" s="5"/>
    </row>
    <row r="12" customFormat="false" ht="15" hidden="false" customHeight="false" outlineLevel="0" collapsed="false">
      <c r="A12" s="6" t="s">
        <v>52</v>
      </c>
      <c r="B12" s="6" t="s">
        <v>53</v>
      </c>
      <c r="C12" s="7" t="s">
        <v>54</v>
      </c>
      <c r="D12" s="8" t="s">
        <v>55</v>
      </c>
      <c r="E12" s="7" t="s">
        <v>56</v>
      </c>
      <c r="F12" s="6" t="s">
        <v>16</v>
      </c>
      <c r="G12" s="6" t="s">
        <v>17</v>
      </c>
      <c r="H12" s="7" t="s">
        <v>48</v>
      </c>
      <c r="I12" s="6" t="s">
        <v>18</v>
      </c>
      <c r="J12" s="8"/>
    </row>
    <row r="13" customFormat="false" ht="15" hidden="false" customHeight="false" outlineLevel="0" collapsed="false">
      <c r="A13" s="3" t="s">
        <v>57</v>
      </c>
      <c r="B13" s="3" t="s">
        <v>53</v>
      </c>
      <c r="C13" s="4" t="s">
        <v>58</v>
      </c>
      <c r="D13" s="5" t="s">
        <v>59</v>
      </c>
      <c r="E13" s="4" t="s">
        <v>56</v>
      </c>
      <c r="F13" s="3" t="s">
        <v>51</v>
      </c>
      <c r="G13" s="3" t="s">
        <v>17</v>
      </c>
      <c r="H13" s="4" t="s">
        <v>52</v>
      </c>
      <c r="I13" s="3" t="s">
        <v>18</v>
      </c>
      <c r="J13" s="5"/>
    </row>
    <row r="14" customFormat="false" ht="15" hidden="false" customHeight="false" outlineLevel="0" collapsed="false">
      <c r="A14" s="6" t="s">
        <v>60</v>
      </c>
      <c r="B14" s="6" t="s">
        <v>53</v>
      </c>
      <c r="C14" s="7" t="s">
        <v>61</v>
      </c>
      <c r="D14" s="8" t="s">
        <v>62</v>
      </c>
      <c r="E14" s="7" t="s">
        <v>56</v>
      </c>
      <c r="F14" s="6" t="s">
        <v>16</v>
      </c>
      <c r="G14" s="6" t="s">
        <v>17</v>
      </c>
      <c r="H14" s="7" t="s">
        <v>52</v>
      </c>
      <c r="I14" s="6" t="s">
        <v>18</v>
      </c>
      <c r="J14" s="8"/>
    </row>
    <row r="15" customFormat="false" ht="15" hidden="false" customHeight="false" outlineLevel="0" collapsed="false">
      <c r="A15" s="3" t="s">
        <v>63</v>
      </c>
      <c r="B15" s="3" t="s">
        <v>53</v>
      </c>
      <c r="C15" s="4" t="s">
        <v>64</v>
      </c>
      <c r="D15" s="5" t="s">
        <v>65</v>
      </c>
      <c r="E15" s="4" t="s">
        <v>56</v>
      </c>
      <c r="F15" s="3" t="s">
        <v>16</v>
      </c>
      <c r="G15" s="3" t="s">
        <v>38</v>
      </c>
      <c r="H15" s="4" t="s">
        <v>60</v>
      </c>
      <c r="I15" s="3" t="s">
        <v>18</v>
      </c>
      <c r="J15" s="5"/>
    </row>
    <row r="16" customFormat="false" ht="15" hidden="false" customHeight="false" outlineLevel="0" collapsed="false">
      <c r="A16" s="6" t="s">
        <v>66</v>
      </c>
      <c r="B16" s="6" t="s">
        <v>53</v>
      </c>
      <c r="C16" s="7" t="s">
        <v>67</v>
      </c>
      <c r="D16" s="8" t="s">
        <v>68</v>
      </c>
      <c r="E16" s="7" t="s">
        <v>56</v>
      </c>
      <c r="F16" s="6" t="s">
        <v>16</v>
      </c>
      <c r="G16" s="6" t="s">
        <v>17</v>
      </c>
      <c r="H16" s="7" t="s">
        <v>63</v>
      </c>
      <c r="I16" s="6" t="s">
        <v>18</v>
      </c>
      <c r="J16" s="8"/>
    </row>
    <row r="17" customFormat="false" ht="15" hidden="false" customHeight="false" outlineLevel="0" collapsed="false">
      <c r="A17" s="3" t="s">
        <v>69</v>
      </c>
      <c r="B17" s="3" t="s">
        <v>53</v>
      </c>
      <c r="C17" s="4" t="s">
        <v>70</v>
      </c>
      <c r="D17" s="5" t="s">
        <v>71</v>
      </c>
      <c r="E17" s="4" t="s">
        <v>56</v>
      </c>
      <c r="F17" s="3" t="s">
        <v>51</v>
      </c>
      <c r="G17" s="3" t="s">
        <v>22</v>
      </c>
      <c r="H17" s="4" t="s">
        <v>66</v>
      </c>
      <c r="I17" s="3" t="s">
        <v>18</v>
      </c>
      <c r="J17" s="5"/>
    </row>
    <row r="18" customFormat="false" ht="15" hidden="false" customHeight="false" outlineLevel="0" collapsed="false">
      <c r="A18" s="6" t="s">
        <v>72</v>
      </c>
      <c r="B18" s="6" t="s">
        <v>53</v>
      </c>
      <c r="C18" s="7" t="s">
        <v>73</v>
      </c>
      <c r="D18" s="8" t="s">
        <v>74</v>
      </c>
      <c r="E18" s="7" t="s">
        <v>56</v>
      </c>
      <c r="F18" s="6" t="s">
        <v>51</v>
      </c>
      <c r="G18" s="6" t="s">
        <v>22</v>
      </c>
      <c r="H18" s="7" t="s">
        <v>66</v>
      </c>
      <c r="I18" s="6" t="s">
        <v>18</v>
      </c>
      <c r="J18" s="8"/>
    </row>
    <row r="19" customFormat="false" ht="15" hidden="false" customHeight="false" outlineLevel="0" collapsed="false">
      <c r="A19" s="3" t="s">
        <v>75</v>
      </c>
      <c r="B19" s="3" t="s">
        <v>53</v>
      </c>
      <c r="C19" s="4" t="s">
        <v>76</v>
      </c>
      <c r="D19" s="5" t="s">
        <v>77</v>
      </c>
      <c r="E19" s="4" t="s">
        <v>56</v>
      </c>
      <c r="F19" s="3" t="s">
        <v>16</v>
      </c>
      <c r="G19" s="3" t="s">
        <v>22</v>
      </c>
      <c r="H19" s="4" t="s">
        <v>63</v>
      </c>
      <c r="I19" s="3" t="s">
        <v>18</v>
      </c>
      <c r="J19" s="5"/>
    </row>
    <row r="20" customFormat="false" ht="15" hidden="false" customHeight="false" outlineLevel="0" collapsed="false">
      <c r="A20" s="6" t="s">
        <v>78</v>
      </c>
      <c r="B20" s="6" t="s">
        <v>53</v>
      </c>
      <c r="C20" s="7" t="s">
        <v>79</v>
      </c>
      <c r="D20" s="8" t="s">
        <v>80</v>
      </c>
      <c r="E20" s="7" t="s">
        <v>29</v>
      </c>
      <c r="F20" s="6" t="s">
        <v>16</v>
      </c>
      <c r="G20" s="6" t="s">
        <v>17</v>
      </c>
      <c r="H20" s="7" t="s">
        <v>81</v>
      </c>
      <c r="I20" s="6" t="s">
        <v>18</v>
      </c>
      <c r="J20" s="8"/>
    </row>
    <row r="21" customFormat="false" ht="15" hidden="false" customHeight="false" outlineLevel="0" collapsed="false">
      <c r="A21" s="3" t="s">
        <v>82</v>
      </c>
      <c r="B21" s="3" t="s">
        <v>53</v>
      </c>
      <c r="C21" s="4" t="s">
        <v>83</v>
      </c>
      <c r="D21" s="5" t="s">
        <v>84</v>
      </c>
      <c r="E21" s="4" t="s">
        <v>56</v>
      </c>
      <c r="F21" s="3" t="s">
        <v>51</v>
      </c>
      <c r="G21" s="3" t="s">
        <v>17</v>
      </c>
      <c r="H21" s="4" t="s">
        <v>78</v>
      </c>
      <c r="I21" s="3" t="s">
        <v>18</v>
      </c>
      <c r="J21" s="5"/>
    </row>
    <row r="22" customFormat="false" ht="22.35" hidden="false" customHeight="false" outlineLevel="0" collapsed="false">
      <c r="A22" s="6" t="s">
        <v>85</v>
      </c>
      <c r="B22" s="6" t="s">
        <v>53</v>
      </c>
      <c r="C22" s="7" t="s">
        <v>86</v>
      </c>
      <c r="D22" s="8" t="s">
        <v>87</v>
      </c>
      <c r="E22" s="7" t="s">
        <v>44</v>
      </c>
      <c r="F22" s="6" t="s">
        <v>16</v>
      </c>
      <c r="G22" s="6" t="s">
        <v>22</v>
      </c>
      <c r="H22" s="7" t="s">
        <v>66</v>
      </c>
      <c r="I22" s="6" t="s">
        <v>18</v>
      </c>
      <c r="J22" s="8" t="s">
        <v>88</v>
      </c>
    </row>
    <row r="23" customFormat="false" ht="15" hidden="false" customHeight="false" outlineLevel="0" collapsed="false">
      <c r="A23" s="3" t="s">
        <v>89</v>
      </c>
      <c r="B23" s="3" t="s">
        <v>90</v>
      </c>
      <c r="C23" s="4" t="s">
        <v>91</v>
      </c>
      <c r="D23" s="5" t="s">
        <v>92</v>
      </c>
      <c r="E23" s="4" t="s">
        <v>93</v>
      </c>
      <c r="F23" s="3" t="s">
        <v>16</v>
      </c>
      <c r="G23" s="3" t="s">
        <v>17</v>
      </c>
      <c r="H23" s="4" t="s">
        <v>41</v>
      </c>
      <c r="I23" s="3" t="s">
        <v>18</v>
      </c>
      <c r="J23" s="5"/>
    </row>
    <row r="24" customFormat="false" ht="15" hidden="false" customHeight="false" outlineLevel="0" collapsed="false">
      <c r="A24" s="6" t="s">
        <v>94</v>
      </c>
      <c r="B24" s="6" t="s">
        <v>90</v>
      </c>
      <c r="C24" s="7" t="s">
        <v>95</v>
      </c>
      <c r="D24" s="8" t="s">
        <v>96</v>
      </c>
      <c r="E24" s="7" t="s">
        <v>34</v>
      </c>
      <c r="F24" s="6" t="s">
        <v>16</v>
      </c>
      <c r="G24" s="6" t="s">
        <v>97</v>
      </c>
      <c r="H24" s="7" t="s">
        <v>31</v>
      </c>
      <c r="I24" s="6" t="s">
        <v>18</v>
      </c>
      <c r="J24" s="8"/>
    </row>
    <row r="25" customFormat="false" ht="15" hidden="false" customHeight="false" outlineLevel="0" collapsed="false">
      <c r="A25" s="3" t="s">
        <v>98</v>
      </c>
      <c r="B25" s="3" t="s">
        <v>90</v>
      </c>
      <c r="C25" s="4" t="s">
        <v>99</v>
      </c>
      <c r="D25" s="5" t="s">
        <v>100</v>
      </c>
      <c r="E25" s="4" t="s">
        <v>34</v>
      </c>
      <c r="F25" s="3" t="s">
        <v>51</v>
      </c>
      <c r="G25" s="3" t="s">
        <v>22</v>
      </c>
      <c r="H25" s="4" t="s">
        <v>101</v>
      </c>
      <c r="I25" s="3" t="s">
        <v>18</v>
      </c>
      <c r="J25" s="5"/>
    </row>
    <row r="26" customFormat="false" ht="15" hidden="false" customHeight="false" outlineLevel="0" collapsed="false">
      <c r="A26" s="6" t="s">
        <v>102</v>
      </c>
      <c r="B26" s="6" t="s">
        <v>90</v>
      </c>
      <c r="C26" s="7" t="s">
        <v>103</v>
      </c>
      <c r="D26" s="8" t="s">
        <v>104</v>
      </c>
      <c r="E26" s="7" t="s">
        <v>29</v>
      </c>
      <c r="F26" s="6" t="s">
        <v>16</v>
      </c>
      <c r="G26" s="6" t="s">
        <v>17</v>
      </c>
      <c r="H26" s="7" t="s">
        <v>105</v>
      </c>
      <c r="I26" s="6" t="s">
        <v>18</v>
      </c>
      <c r="J26" s="8"/>
    </row>
    <row r="27" customFormat="false" ht="15" hidden="false" customHeight="false" outlineLevel="0" collapsed="false">
      <c r="A27" s="3" t="s">
        <v>106</v>
      </c>
      <c r="B27" s="3" t="s">
        <v>90</v>
      </c>
      <c r="C27" s="4" t="s">
        <v>107</v>
      </c>
      <c r="D27" s="5" t="s">
        <v>108</v>
      </c>
      <c r="E27" s="4" t="s">
        <v>44</v>
      </c>
      <c r="F27" s="3" t="s">
        <v>16</v>
      </c>
      <c r="G27" s="3" t="s">
        <v>22</v>
      </c>
      <c r="H27" s="4" t="s">
        <v>102</v>
      </c>
      <c r="I27" s="3" t="s">
        <v>18</v>
      </c>
      <c r="J27" s="5"/>
    </row>
    <row r="28" customFormat="false" ht="15" hidden="false" customHeight="false" outlineLevel="0" collapsed="false">
      <c r="A28" s="6" t="s">
        <v>109</v>
      </c>
      <c r="B28" s="6" t="s">
        <v>90</v>
      </c>
      <c r="C28" s="7" t="s">
        <v>110</v>
      </c>
      <c r="D28" s="8" t="s">
        <v>111</v>
      </c>
      <c r="E28" s="7" t="s">
        <v>44</v>
      </c>
      <c r="F28" s="6" t="s">
        <v>51</v>
      </c>
      <c r="G28" s="6" t="s">
        <v>17</v>
      </c>
      <c r="H28" s="7" t="s">
        <v>112</v>
      </c>
      <c r="I28" s="6" t="s">
        <v>18</v>
      </c>
      <c r="J28" s="8"/>
    </row>
    <row r="29" customFormat="false" ht="15" hidden="false" customHeight="false" outlineLevel="0" collapsed="false">
      <c r="A29" s="3" t="s">
        <v>113</v>
      </c>
      <c r="B29" s="3" t="s">
        <v>114</v>
      </c>
      <c r="C29" s="4" t="s">
        <v>115</v>
      </c>
      <c r="D29" s="5" t="s">
        <v>116</v>
      </c>
      <c r="E29" s="4" t="s">
        <v>34</v>
      </c>
      <c r="F29" s="3" t="s">
        <v>16</v>
      </c>
      <c r="G29" s="3" t="s">
        <v>17</v>
      </c>
      <c r="H29" s="4"/>
      <c r="I29" s="3" t="s">
        <v>18</v>
      </c>
      <c r="J29" s="5"/>
    </row>
    <row r="30" customFormat="false" ht="15" hidden="false" customHeight="false" outlineLevel="0" collapsed="false">
      <c r="A30" s="6" t="s">
        <v>117</v>
      </c>
      <c r="B30" s="6" t="s">
        <v>114</v>
      </c>
      <c r="C30" s="7" t="s">
        <v>118</v>
      </c>
      <c r="D30" s="8" t="s">
        <v>119</v>
      </c>
      <c r="E30" s="7" t="s">
        <v>34</v>
      </c>
      <c r="F30" s="6" t="s">
        <v>16</v>
      </c>
      <c r="G30" s="6" t="s">
        <v>38</v>
      </c>
      <c r="H30" s="7" t="s">
        <v>113</v>
      </c>
      <c r="I30" s="6" t="s">
        <v>18</v>
      </c>
      <c r="J30" s="8"/>
    </row>
    <row r="31" customFormat="false" ht="15" hidden="false" customHeight="false" outlineLevel="0" collapsed="false">
      <c r="A31" s="3" t="s">
        <v>120</v>
      </c>
      <c r="B31" s="3" t="s">
        <v>114</v>
      </c>
      <c r="C31" s="4" t="s">
        <v>121</v>
      </c>
      <c r="D31" s="5" t="s">
        <v>122</v>
      </c>
      <c r="E31" s="4" t="s">
        <v>34</v>
      </c>
      <c r="F31" s="3" t="s">
        <v>16</v>
      </c>
      <c r="G31" s="3" t="s">
        <v>38</v>
      </c>
      <c r="H31" s="4" t="s">
        <v>117</v>
      </c>
      <c r="I31" s="3" t="s">
        <v>18</v>
      </c>
      <c r="J31" s="5"/>
    </row>
    <row r="32" customFormat="false" ht="15" hidden="false" customHeight="false" outlineLevel="0" collapsed="false">
      <c r="A32" s="6" t="s">
        <v>123</v>
      </c>
      <c r="B32" s="6" t="s">
        <v>114</v>
      </c>
      <c r="C32" s="7" t="s">
        <v>124</v>
      </c>
      <c r="D32" s="8" t="s">
        <v>125</v>
      </c>
      <c r="E32" s="7" t="s">
        <v>34</v>
      </c>
      <c r="F32" s="6" t="s">
        <v>16</v>
      </c>
      <c r="G32" s="6" t="s">
        <v>17</v>
      </c>
      <c r="H32" s="7" t="s">
        <v>120</v>
      </c>
      <c r="I32" s="6" t="s">
        <v>18</v>
      </c>
      <c r="J32" s="8"/>
    </row>
    <row r="33" customFormat="false" ht="15" hidden="false" customHeight="false" outlineLevel="0" collapsed="false">
      <c r="A33" s="3" t="s">
        <v>126</v>
      </c>
      <c r="B33" s="3" t="s">
        <v>114</v>
      </c>
      <c r="C33" s="4" t="s">
        <v>127</v>
      </c>
      <c r="D33" s="5" t="s">
        <v>128</v>
      </c>
      <c r="E33" s="4" t="s">
        <v>34</v>
      </c>
      <c r="F33" s="3" t="s">
        <v>51</v>
      </c>
      <c r="G33" s="3" t="s">
        <v>17</v>
      </c>
      <c r="H33" s="4" t="s">
        <v>129</v>
      </c>
      <c r="I33" s="3" t="s">
        <v>18</v>
      </c>
      <c r="J33" s="5"/>
    </row>
    <row r="34" customFormat="false" ht="15" hidden="false" customHeight="false" outlineLevel="0" collapsed="false">
      <c r="A34" s="6" t="s">
        <v>130</v>
      </c>
      <c r="B34" s="6" t="s">
        <v>114</v>
      </c>
      <c r="C34" s="7" t="s">
        <v>131</v>
      </c>
      <c r="D34" s="8" t="s">
        <v>132</v>
      </c>
      <c r="E34" s="7" t="s">
        <v>56</v>
      </c>
      <c r="F34" s="6" t="s">
        <v>51</v>
      </c>
      <c r="G34" s="6" t="s">
        <v>17</v>
      </c>
      <c r="H34" s="7" t="s">
        <v>41</v>
      </c>
      <c r="I34" s="6" t="s">
        <v>18</v>
      </c>
      <c r="J34" s="8"/>
    </row>
    <row r="35" customFormat="false" ht="22.35" hidden="false" customHeight="false" outlineLevel="0" collapsed="false">
      <c r="A35" s="3" t="s">
        <v>133</v>
      </c>
      <c r="B35" s="3" t="s">
        <v>114</v>
      </c>
      <c r="C35" s="4" t="s">
        <v>134</v>
      </c>
      <c r="D35" s="5" t="s">
        <v>135</v>
      </c>
      <c r="E35" s="4" t="s">
        <v>44</v>
      </c>
      <c r="F35" s="3" t="s">
        <v>16</v>
      </c>
      <c r="G35" s="3" t="s">
        <v>17</v>
      </c>
      <c r="H35" s="4" t="s">
        <v>136</v>
      </c>
      <c r="I35" s="3" t="s">
        <v>18</v>
      </c>
      <c r="J35" s="5" t="s">
        <v>137</v>
      </c>
    </row>
    <row r="36" customFormat="false" ht="15" hidden="false" customHeight="false" outlineLevel="0" collapsed="false">
      <c r="A36" s="6" t="s">
        <v>138</v>
      </c>
      <c r="B36" s="6" t="s">
        <v>139</v>
      </c>
      <c r="C36" s="7" t="s">
        <v>140</v>
      </c>
      <c r="D36" s="8" t="s">
        <v>141</v>
      </c>
      <c r="E36" s="7" t="s">
        <v>34</v>
      </c>
      <c r="F36" s="6" t="s">
        <v>16</v>
      </c>
      <c r="G36" s="6" t="s">
        <v>142</v>
      </c>
      <c r="H36" s="7" t="s">
        <v>123</v>
      </c>
      <c r="I36" s="6" t="s">
        <v>18</v>
      </c>
      <c r="J36" s="8"/>
    </row>
    <row r="37" customFormat="false" ht="15" hidden="false" customHeight="false" outlineLevel="0" collapsed="false">
      <c r="A37" s="3" t="s">
        <v>143</v>
      </c>
      <c r="B37" s="3" t="s">
        <v>139</v>
      </c>
      <c r="C37" s="4" t="s">
        <v>144</v>
      </c>
      <c r="D37" s="5" t="s">
        <v>145</v>
      </c>
      <c r="E37" s="4" t="s">
        <v>34</v>
      </c>
      <c r="F37" s="3" t="s">
        <v>16</v>
      </c>
      <c r="G37" s="3" t="s">
        <v>38</v>
      </c>
      <c r="H37" s="4" t="s">
        <v>138</v>
      </c>
      <c r="I37" s="3" t="s">
        <v>18</v>
      </c>
      <c r="J37" s="5"/>
    </row>
    <row r="38" customFormat="false" ht="15" hidden="false" customHeight="false" outlineLevel="0" collapsed="false">
      <c r="A38" s="6" t="s">
        <v>146</v>
      </c>
      <c r="B38" s="6" t="s">
        <v>139</v>
      </c>
      <c r="C38" s="7" t="s">
        <v>147</v>
      </c>
      <c r="D38" s="8" t="s">
        <v>148</v>
      </c>
      <c r="E38" s="7" t="s">
        <v>34</v>
      </c>
      <c r="F38" s="6" t="s">
        <v>51</v>
      </c>
      <c r="G38" s="6" t="s">
        <v>17</v>
      </c>
      <c r="H38" s="7" t="s">
        <v>138</v>
      </c>
      <c r="I38" s="6" t="s">
        <v>18</v>
      </c>
      <c r="J38" s="8"/>
    </row>
    <row r="39" customFormat="false" ht="15" hidden="false" customHeight="false" outlineLevel="0" collapsed="false">
      <c r="A39" s="3" t="s">
        <v>149</v>
      </c>
      <c r="B39" s="3" t="s">
        <v>139</v>
      </c>
      <c r="C39" s="4" t="s">
        <v>150</v>
      </c>
      <c r="D39" s="5" t="s">
        <v>151</v>
      </c>
      <c r="E39" s="4" t="s">
        <v>34</v>
      </c>
      <c r="F39" s="3" t="s">
        <v>16</v>
      </c>
      <c r="G39" s="3" t="s">
        <v>97</v>
      </c>
      <c r="H39" s="4" t="s">
        <v>152</v>
      </c>
      <c r="I39" s="3" t="s">
        <v>18</v>
      </c>
      <c r="J39" s="5"/>
    </row>
    <row r="40" customFormat="false" ht="15" hidden="false" customHeight="false" outlineLevel="0" collapsed="false">
      <c r="A40" s="6" t="s">
        <v>153</v>
      </c>
      <c r="B40" s="6" t="s">
        <v>139</v>
      </c>
      <c r="C40" s="7" t="s">
        <v>154</v>
      </c>
      <c r="D40" s="8" t="s">
        <v>155</v>
      </c>
      <c r="E40" s="7" t="s">
        <v>34</v>
      </c>
      <c r="F40" s="6" t="s">
        <v>51</v>
      </c>
      <c r="G40" s="6" t="s">
        <v>22</v>
      </c>
      <c r="H40" s="7" t="s">
        <v>149</v>
      </c>
      <c r="I40" s="6" t="s">
        <v>18</v>
      </c>
      <c r="J40" s="8"/>
    </row>
    <row r="41" customFormat="false" ht="15" hidden="false" customHeight="false" outlineLevel="0" collapsed="false">
      <c r="A41" s="3" t="s">
        <v>156</v>
      </c>
      <c r="B41" s="3" t="s">
        <v>139</v>
      </c>
      <c r="C41" s="4" t="s">
        <v>157</v>
      </c>
      <c r="D41" s="5" t="s">
        <v>158</v>
      </c>
      <c r="E41" s="4" t="s">
        <v>44</v>
      </c>
      <c r="F41" s="3" t="s">
        <v>16</v>
      </c>
      <c r="G41" s="3" t="s">
        <v>17</v>
      </c>
      <c r="H41" s="4" t="s">
        <v>159</v>
      </c>
      <c r="I41" s="3" t="s">
        <v>18</v>
      </c>
      <c r="J41" s="5"/>
    </row>
    <row r="42" customFormat="false" ht="15" hidden="false" customHeight="false" outlineLevel="0" collapsed="false">
      <c r="A42" s="6" t="s">
        <v>160</v>
      </c>
      <c r="B42" s="6" t="s">
        <v>161</v>
      </c>
      <c r="C42" s="7" t="s">
        <v>162</v>
      </c>
      <c r="D42" s="8" t="s">
        <v>163</v>
      </c>
      <c r="E42" s="7" t="s">
        <v>93</v>
      </c>
      <c r="F42" s="6" t="s">
        <v>16</v>
      </c>
      <c r="G42" s="6" t="s">
        <v>22</v>
      </c>
      <c r="H42" s="7" t="s">
        <v>89</v>
      </c>
      <c r="I42" s="6" t="s">
        <v>18</v>
      </c>
      <c r="J42" s="8"/>
    </row>
    <row r="43" customFormat="false" ht="15" hidden="false" customHeight="false" outlineLevel="0" collapsed="false">
      <c r="A43" s="3" t="s">
        <v>164</v>
      </c>
      <c r="B43" s="3" t="s">
        <v>161</v>
      </c>
      <c r="C43" s="4" t="s">
        <v>165</v>
      </c>
      <c r="D43" s="5" t="s">
        <v>166</v>
      </c>
      <c r="E43" s="4" t="s">
        <v>34</v>
      </c>
      <c r="F43" s="3" t="s">
        <v>16</v>
      </c>
      <c r="G43" s="3" t="s">
        <v>38</v>
      </c>
      <c r="H43" s="4" t="s">
        <v>167</v>
      </c>
      <c r="I43" s="3" t="s">
        <v>18</v>
      </c>
      <c r="J43" s="5"/>
    </row>
    <row r="44" customFormat="false" ht="15" hidden="false" customHeight="false" outlineLevel="0" collapsed="false">
      <c r="A44" s="6" t="s">
        <v>168</v>
      </c>
      <c r="B44" s="6" t="s">
        <v>161</v>
      </c>
      <c r="C44" s="7" t="s">
        <v>169</v>
      </c>
      <c r="D44" s="8" t="s">
        <v>170</v>
      </c>
      <c r="E44" s="7" t="s">
        <v>34</v>
      </c>
      <c r="F44" s="6" t="s">
        <v>51</v>
      </c>
      <c r="G44" s="6" t="s">
        <v>142</v>
      </c>
      <c r="H44" s="7" t="s">
        <v>164</v>
      </c>
      <c r="I44" s="6" t="s">
        <v>18</v>
      </c>
      <c r="J44" s="8"/>
    </row>
    <row r="45" customFormat="false" ht="15" hidden="false" customHeight="false" outlineLevel="0" collapsed="false">
      <c r="A45" s="3" t="s">
        <v>171</v>
      </c>
      <c r="B45" s="3" t="s">
        <v>161</v>
      </c>
      <c r="C45" s="4" t="s">
        <v>172</v>
      </c>
      <c r="D45" s="5" t="s">
        <v>173</v>
      </c>
      <c r="E45" s="4" t="s">
        <v>44</v>
      </c>
      <c r="F45" s="3" t="s">
        <v>16</v>
      </c>
      <c r="G45" s="3" t="s">
        <v>22</v>
      </c>
      <c r="H45" s="4" t="s">
        <v>164</v>
      </c>
      <c r="I45" s="3" t="s">
        <v>18</v>
      </c>
      <c r="J45" s="5"/>
    </row>
    <row r="46" customFormat="false" ht="15" hidden="false" customHeight="false" outlineLevel="0" collapsed="false">
      <c r="A46" s="6" t="s">
        <v>174</v>
      </c>
      <c r="B46" s="6" t="s">
        <v>175</v>
      </c>
      <c r="C46" s="7" t="s">
        <v>176</v>
      </c>
      <c r="D46" s="8" t="s">
        <v>177</v>
      </c>
      <c r="E46" s="7" t="s">
        <v>56</v>
      </c>
      <c r="F46" s="6" t="s">
        <v>51</v>
      </c>
      <c r="G46" s="6" t="s">
        <v>17</v>
      </c>
      <c r="H46" s="7" t="s">
        <v>72</v>
      </c>
      <c r="I46" s="6" t="s">
        <v>18</v>
      </c>
      <c r="J46" s="8"/>
    </row>
    <row r="47" customFormat="false" ht="15" hidden="false" customHeight="false" outlineLevel="0" collapsed="false">
      <c r="A47" s="3" t="s">
        <v>178</v>
      </c>
      <c r="B47" s="3" t="s">
        <v>175</v>
      </c>
      <c r="C47" s="4" t="s">
        <v>179</v>
      </c>
      <c r="D47" s="5" t="s">
        <v>180</v>
      </c>
      <c r="E47" s="4" t="s">
        <v>34</v>
      </c>
      <c r="F47" s="3" t="s">
        <v>51</v>
      </c>
      <c r="G47" s="3" t="s">
        <v>17</v>
      </c>
      <c r="H47" s="4" t="s">
        <v>138</v>
      </c>
      <c r="I47" s="3" t="s">
        <v>18</v>
      </c>
      <c r="J47" s="5"/>
    </row>
    <row r="48" customFormat="false" ht="15" hidden="false" customHeight="false" outlineLevel="0" collapsed="false">
      <c r="A48" s="6" t="s">
        <v>181</v>
      </c>
      <c r="B48" s="6" t="s">
        <v>175</v>
      </c>
      <c r="C48" s="7" t="s">
        <v>182</v>
      </c>
      <c r="D48" s="8" t="s">
        <v>183</v>
      </c>
      <c r="E48" s="7" t="s">
        <v>34</v>
      </c>
      <c r="F48" s="6" t="s">
        <v>51</v>
      </c>
      <c r="G48" s="6" t="s">
        <v>17</v>
      </c>
      <c r="H48" s="7" t="s">
        <v>184</v>
      </c>
      <c r="I48" s="6" t="s">
        <v>18</v>
      </c>
      <c r="J48" s="8"/>
    </row>
    <row r="49" customFormat="false" ht="15" hidden="false" customHeight="false" outlineLevel="0" collapsed="false">
      <c r="A49" s="3" t="s">
        <v>185</v>
      </c>
      <c r="B49" s="3" t="s">
        <v>175</v>
      </c>
      <c r="C49" s="4" t="s">
        <v>186</v>
      </c>
      <c r="D49" s="5" t="s">
        <v>187</v>
      </c>
      <c r="E49" s="4" t="s">
        <v>44</v>
      </c>
      <c r="F49" s="3" t="s">
        <v>16</v>
      </c>
      <c r="G49" s="3" t="s">
        <v>22</v>
      </c>
      <c r="H49" s="4" t="s">
        <v>181</v>
      </c>
      <c r="I49" s="3" t="s">
        <v>18</v>
      </c>
      <c r="J49" s="5"/>
    </row>
    <row r="50" customFormat="false" ht="15" hidden="false" customHeight="false" outlineLevel="0" collapsed="false">
      <c r="A50" s="6" t="s">
        <v>188</v>
      </c>
      <c r="B50" s="6" t="s">
        <v>189</v>
      </c>
      <c r="C50" s="7" t="s">
        <v>190</v>
      </c>
      <c r="D50" s="8" t="s">
        <v>191</v>
      </c>
      <c r="E50" s="7" t="s">
        <v>34</v>
      </c>
      <c r="F50" s="6" t="s">
        <v>16</v>
      </c>
      <c r="G50" s="6" t="s">
        <v>97</v>
      </c>
      <c r="H50" s="7" t="s">
        <v>113</v>
      </c>
      <c r="I50" s="6" t="s">
        <v>18</v>
      </c>
      <c r="J50" s="8"/>
    </row>
    <row r="51" customFormat="false" ht="15" hidden="false" customHeight="false" outlineLevel="0" collapsed="false">
      <c r="A51" s="3" t="s">
        <v>192</v>
      </c>
      <c r="B51" s="3" t="s">
        <v>189</v>
      </c>
      <c r="C51" s="4" t="s">
        <v>193</v>
      </c>
      <c r="D51" s="5" t="s">
        <v>194</v>
      </c>
      <c r="E51" s="4" t="s">
        <v>34</v>
      </c>
      <c r="F51" s="3" t="s">
        <v>16</v>
      </c>
      <c r="G51" s="3" t="s">
        <v>38</v>
      </c>
      <c r="H51" s="4" t="s">
        <v>143</v>
      </c>
      <c r="I51" s="3" t="s">
        <v>18</v>
      </c>
      <c r="J51" s="5"/>
    </row>
    <row r="52" customFormat="false" ht="15" hidden="false" customHeight="false" outlineLevel="0" collapsed="false">
      <c r="A52" s="6" t="s">
        <v>195</v>
      </c>
      <c r="B52" s="6" t="s">
        <v>189</v>
      </c>
      <c r="C52" s="7" t="s">
        <v>196</v>
      </c>
      <c r="D52" s="8" t="s">
        <v>197</v>
      </c>
      <c r="E52" s="7" t="s">
        <v>34</v>
      </c>
      <c r="F52" s="6" t="s">
        <v>51</v>
      </c>
      <c r="G52" s="6" t="s">
        <v>22</v>
      </c>
      <c r="H52" s="7" t="s">
        <v>192</v>
      </c>
      <c r="I52" s="6" t="s">
        <v>18</v>
      </c>
      <c r="J52" s="8"/>
    </row>
    <row r="53" customFormat="false" ht="15" hidden="false" customHeight="false" outlineLevel="0" collapsed="false">
      <c r="A53" s="3" t="s">
        <v>198</v>
      </c>
      <c r="B53" s="3" t="s">
        <v>189</v>
      </c>
      <c r="C53" s="4" t="s">
        <v>199</v>
      </c>
      <c r="D53" s="5" t="s">
        <v>200</v>
      </c>
      <c r="E53" s="4" t="s">
        <v>34</v>
      </c>
      <c r="F53" s="3" t="s">
        <v>16</v>
      </c>
      <c r="G53" s="3" t="s">
        <v>142</v>
      </c>
      <c r="H53" s="4" t="s">
        <v>188</v>
      </c>
      <c r="I53" s="3" t="s">
        <v>18</v>
      </c>
      <c r="J53" s="5"/>
    </row>
    <row r="54" customFormat="false" ht="15" hidden="false" customHeight="false" outlineLevel="0" collapsed="false">
      <c r="A54" s="6" t="s">
        <v>201</v>
      </c>
      <c r="B54" s="6" t="s">
        <v>189</v>
      </c>
      <c r="C54" s="7" t="s">
        <v>202</v>
      </c>
      <c r="D54" s="8" t="s">
        <v>203</v>
      </c>
      <c r="E54" s="7" t="s">
        <v>34</v>
      </c>
      <c r="F54" s="6" t="s">
        <v>51</v>
      </c>
      <c r="G54" s="6" t="s">
        <v>22</v>
      </c>
      <c r="H54" s="7" t="s">
        <v>188</v>
      </c>
      <c r="I54" s="6" t="s">
        <v>18</v>
      </c>
      <c r="J54" s="8"/>
    </row>
    <row r="55" customFormat="false" ht="15" hidden="false" customHeight="false" outlineLevel="0" collapsed="false">
      <c r="A55" s="3" t="s">
        <v>204</v>
      </c>
      <c r="B55" s="3" t="s">
        <v>189</v>
      </c>
      <c r="C55" s="4" t="s">
        <v>205</v>
      </c>
      <c r="D55" s="5" t="s">
        <v>206</v>
      </c>
      <c r="E55" s="4" t="s">
        <v>56</v>
      </c>
      <c r="F55" s="3" t="s">
        <v>51</v>
      </c>
      <c r="G55" s="3" t="s">
        <v>17</v>
      </c>
      <c r="H55" s="4" t="s">
        <v>130</v>
      </c>
      <c r="I55" s="3" t="s">
        <v>18</v>
      </c>
      <c r="J55" s="5"/>
    </row>
    <row r="56" customFormat="false" ht="15" hidden="false" customHeight="false" outlineLevel="0" collapsed="false">
      <c r="A56" s="6" t="s">
        <v>207</v>
      </c>
      <c r="B56" s="6" t="s">
        <v>189</v>
      </c>
      <c r="C56" s="7" t="s">
        <v>208</v>
      </c>
      <c r="D56" s="8" t="s">
        <v>209</v>
      </c>
      <c r="E56" s="7" t="s">
        <v>44</v>
      </c>
      <c r="F56" s="6" t="s">
        <v>16</v>
      </c>
      <c r="G56" s="6" t="s">
        <v>17</v>
      </c>
      <c r="H56" s="7" t="s">
        <v>210</v>
      </c>
      <c r="I56" s="6" t="s">
        <v>18</v>
      </c>
      <c r="J56" s="8" t="s">
        <v>211</v>
      </c>
    </row>
    <row r="57" customFormat="false" ht="15" hidden="false" customHeight="false" outlineLevel="0" collapsed="false">
      <c r="A57" s="3" t="s">
        <v>212</v>
      </c>
      <c r="B57" s="3" t="s">
        <v>213</v>
      </c>
      <c r="C57" s="4" t="s">
        <v>214</v>
      </c>
      <c r="D57" s="5" t="s">
        <v>215</v>
      </c>
      <c r="E57" s="4" t="s">
        <v>29</v>
      </c>
      <c r="F57" s="3" t="s">
        <v>16</v>
      </c>
      <c r="G57" s="3" t="s">
        <v>38</v>
      </c>
      <c r="H57" s="4" t="s">
        <v>102</v>
      </c>
      <c r="I57" s="3" t="s">
        <v>18</v>
      </c>
      <c r="J57" s="5"/>
    </row>
    <row r="58" customFormat="false" ht="15" hidden="false" customHeight="false" outlineLevel="0" collapsed="false">
      <c r="A58" s="6" t="s">
        <v>216</v>
      </c>
      <c r="B58" s="6" t="s">
        <v>213</v>
      </c>
      <c r="C58" s="7" t="s">
        <v>217</v>
      </c>
      <c r="D58" s="8" t="s">
        <v>218</v>
      </c>
      <c r="E58" s="7" t="s">
        <v>34</v>
      </c>
      <c r="F58" s="6" t="s">
        <v>16</v>
      </c>
      <c r="G58" s="6" t="s">
        <v>17</v>
      </c>
      <c r="H58" s="7" t="s">
        <v>41</v>
      </c>
      <c r="I58" s="6" t="s">
        <v>18</v>
      </c>
      <c r="J58" s="8"/>
    </row>
    <row r="59" customFormat="false" ht="15" hidden="false" customHeight="false" outlineLevel="0" collapsed="false">
      <c r="A59" s="3" t="s">
        <v>219</v>
      </c>
      <c r="B59" s="3" t="s">
        <v>213</v>
      </c>
      <c r="C59" s="4" t="s">
        <v>220</v>
      </c>
      <c r="D59" s="5" t="s">
        <v>221</v>
      </c>
      <c r="E59" s="4" t="s">
        <v>56</v>
      </c>
      <c r="F59" s="3" t="s">
        <v>51</v>
      </c>
      <c r="G59" s="3" t="s">
        <v>17</v>
      </c>
      <c r="H59" s="4" t="s">
        <v>216</v>
      </c>
      <c r="I59" s="3" t="s">
        <v>18</v>
      </c>
      <c r="J59" s="5"/>
    </row>
    <row r="60" customFormat="false" ht="15" hidden="false" customHeight="false" outlineLevel="0" collapsed="false">
      <c r="A60" s="6" t="s">
        <v>222</v>
      </c>
      <c r="B60" s="6" t="s">
        <v>213</v>
      </c>
      <c r="C60" s="7" t="s">
        <v>223</v>
      </c>
      <c r="D60" s="8" t="s">
        <v>224</v>
      </c>
      <c r="E60" s="7" t="s">
        <v>56</v>
      </c>
      <c r="F60" s="6" t="s">
        <v>51</v>
      </c>
      <c r="G60" s="6" t="s">
        <v>225</v>
      </c>
      <c r="H60" s="7" t="s">
        <v>226</v>
      </c>
      <c r="I60" s="6" t="s">
        <v>18</v>
      </c>
      <c r="J60" s="8"/>
    </row>
    <row r="61" customFormat="false" ht="15" hidden="false" customHeight="false" outlineLevel="0" collapsed="false">
      <c r="A61" s="3" t="s">
        <v>227</v>
      </c>
      <c r="B61" s="3" t="s">
        <v>213</v>
      </c>
      <c r="C61" s="4" t="s">
        <v>228</v>
      </c>
      <c r="D61" s="5" t="s">
        <v>229</v>
      </c>
      <c r="E61" s="4" t="s">
        <v>44</v>
      </c>
      <c r="F61" s="3" t="s">
        <v>51</v>
      </c>
      <c r="G61" s="3" t="s">
        <v>17</v>
      </c>
      <c r="H61" s="4" t="s">
        <v>212</v>
      </c>
      <c r="I61" s="3" t="s">
        <v>18</v>
      </c>
      <c r="J61" s="5"/>
    </row>
    <row r="62" customFormat="false" ht="15" hidden="false" customHeight="false" outlineLevel="0" collapsed="false">
      <c r="A62" s="6" t="s">
        <v>230</v>
      </c>
      <c r="B62" s="6" t="s">
        <v>213</v>
      </c>
      <c r="C62" s="7" t="s">
        <v>231</v>
      </c>
      <c r="D62" s="8" t="s">
        <v>232</v>
      </c>
      <c r="E62" s="7" t="s">
        <v>233</v>
      </c>
      <c r="F62" s="6" t="s">
        <v>51</v>
      </c>
      <c r="G62" s="6" t="s">
        <v>97</v>
      </c>
      <c r="H62" s="7" t="s">
        <v>227</v>
      </c>
      <c r="I62" s="6" t="s">
        <v>18</v>
      </c>
      <c r="J62" s="8"/>
    </row>
    <row r="63" customFormat="false" ht="15" hidden="false" customHeight="false" outlineLevel="0" collapsed="false">
      <c r="A63" s="3" t="s">
        <v>234</v>
      </c>
      <c r="B63" s="3" t="s">
        <v>213</v>
      </c>
      <c r="C63" s="4" t="s">
        <v>235</v>
      </c>
      <c r="D63" s="5" t="s">
        <v>236</v>
      </c>
      <c r="E63" s="4" t="s">
        <v>233</v>
      </c>
      <c r="F63" s="3" t="s">
        <v>51</v>
      </c>
      <c r="G63" s="3" t="s">
        <v>17</v>
      </c>
      <c r="H63" s="4" t="s">
        <v>230</v>
      </c>
      <c r="I63" s="3" t="s">
        <v>18</v>
      </c>
      <c r="J63" s="5"/>
    </row>
    <row r="64" customFormat="false" ht="15" hidden="false" customHeight="false" outlineLevel="0" collapsed="false">
      <c r="A64" s="6" t="s">
        <v>237</v>
      </c>
      <c r="B64" s="6" t="s">
        <v>213</v>
      </c>
      <c r="C64" s="7" t="s">
        <v>238</v>
      </c>
      <c r="D64" s="8" t="s">
        <v>239</v>
      </c>
      <c r="E64" s="7" t="s">
        <v>233</v>
      </c>
      <c r="F64" s="6" t="s">
        <v>240</v>
      </c>
      <c r="G64" s="6" t="s">
        <v>38</v>
      </c>
      <c r="H64" s="7" t="s">
        <v>153</v>
      </c>
      <c r="I64" s="6" t="s">
        <v>18</v>
      </c>
      <c r="J64" s="8"/>
    </row>
    <row r="65" customFormat="false" ht="15" hidden="false" customHeight="false" outlineLevel="0" collapsed="false">
      <c r="A65" s="3" t="s">
        <v>241</v>
      </c>
      <c r="B65" s="3" t="s">
        <v>213</v>
      </c>
      <c r="C65" s="4" t="s">
        <v>242</v>
      </c>
      <c r="D65" s="5" t="s">
        <v>243</v>
      </c>
      <c r="E65" s="4" t="s">
        <v>233</v>
      </c>
      <c r="F65" s="3" t="s">
        <v>240</v>
      </c>
      <c r="G65" s="3" t="s">
        <v>97</v>
      </c>
      <c r="H65" s="4" t="s">
        <v>181</v>
      </c>
      <c r="I65" s="3" t="s">
        <v>18</v>
      </c>
      <c r="J65" s="5"/>
    </row>
  </sheetData>
  <autoFilter ref="A2:J65"/>
  <mergeCells count="1">
    <mergeCell ref="A1:J1"/>
  </mergeCells>
  <conditionalFormatting sqref="I3:I65">
    <cfRule type="cellIs" priority="2" operator="equal" aboveAverage="0" equalAverage="0" bottom="0" percent="0" rank="0" text="" dxfId="7">
      <formula>"Tamam"</formula>
    </cfRule>
    <cfRule type="cellIs" priority="3" operator="equal" aboveAverage="0" equalAverage="0" bottom="0" percent="0" rank="0" text="" dxfId="8">
      <formula>"Devam ediyor"</formula>
    </cfRule>
    <cfRule type="cellIs" priority="4" operator="equal" aboveAverage="0" equalAverage="0" bottom="0" percent="0" rank="0" text="" dxfId="9">
      <formula>"Bloke"</formula>
    </cfRule>
    <cfRule type="cellIs" priority="5" operator="equal" aboveAverage="0" equalAverage="0" bottom="0" percent="0" rank="0" text="" dxfId="10">
      <formula>"Yapılacak"</formula>
    </cfRule>
  </conditionalFormatting>
  <dataValidations count="3">
    <dataValidation allowBlank="true" errorStyle="stop" operator="between" showDropDown="false" showErrorMessage="false" showInputMessage="false" sqref="I3:I65" type="list">
      <formula1>"Yapılacak,Devam ediyor,Bloke,Tamam"</formula1>
      <formula2>0</formula2>
    </dataValidation>
    <dataValidation allowBlank="true" errorStyle="stop" operator="between" showDropDown="false" showErrorMessage="false" showInputMessage="false" sqref="F3:F65" type="list">
      <formula1>"Yüksek,Orta,Düşük"</formula1>
      <formula2>0</formula2>
    </dataValidation>
    <dataValidation allowBlank="true" errorStyle="stop" operator="between" showDropDown="false" showErrorMessage="false" showInputMessage="false" sqref="E3:E65" type="list">
      <formula1>"Platform/Kurulum,Yazılım (PS),Donanım (PL),Bellek/DDR4,Video/HDMI,Test/Doğrulama,Optimizasyon"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1"/>
    <col collapsed="false" customWidth="true" hidden="false" outlineLevel="0" max="5" min="5" style="0" width="9"/>
  </cols>
  <sheetData>
    <row r="1" customFormat="false" ht="25.5" hidden="false" customHeight="true" outlineLevel="0" collapsed="false">
      <c r="A1" s="1" t="s">
        <v>244</v>
      </c>
      <c r="B1" s="1"/>
      <c r="C1" s="1"/>
      <c r="D1" s="1"/>
      <c r="E1" s="1"/>
    </row>
    <row r="2" customFormat="false" ht="30" hidden="false" customHeight="true" outlineLevel="0" collapsed="false">
      <c r="A2" s="9" t="s">
        <v>245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246</v>
      </c>
      <c r="B4" s="11" t="n">
        <f aca="false">COUNTA(Yapılacaklar!A3:A65)</f>
        <v>63</v>
      </c>
    </row>
    <row r="5" customFormat="false" ht="15" hidden="false" customHeight="false" outlineLevel="0" collapsed="false">
      <c r="A5" s="12" t="s">
        <v>247</v>
      </c>
      <c r="B5" s="13" t="n">
        <f aca="false">COUNTIF(Yapılacaklar!I3:I65,"Tamam")</f>
        <v>0</v>
      </c>
    </row>
    <row r="6" customFormat="false" ht="15" hidden="false" customHeight="false" outlineLevel="0" collapsed="false">
      <c r="A6" s="14" t="s">
        <v>248</v>
      </c>
      <c r="B6" s="15" t="n">
        <f aca="false">COUNTIF(Yapılacaklar!I3:I65,"Devam ediyor")</f>
        <v>0</v>
      </c>
    </row>
    <row r="7" customFormat="false" ht="15" hidden="false" customHeight="false" outlineLevel="0" collapsed="false">
      <c r="A7" s="16" t="s">
        <v>249</v>
      </c>
      <c r="B7" s="17" t="n">
        <f aca="false">COUNTIF(Yapılacaklar!I3:I65,"Bloke")</f>
        <v>0</v>
      </c>
    </row>
    <row r="8" customFormat="false" ht="15" hidden="false" customHeight="false" outlineLevel="0" collapsed="false">
      <c r="A8" s="18" t="s">
        <v>18</v>
      </c>
      <c r="B8" s="19" t="n">
        <f aca="false">COUNTIF(Yapılacaklar!I3:I65,"Yapılacak")</f>
        <v>63</v>
      </c>
    </row>
    <row r="9" customFormat="false" ht="15" hidden="false" customHeight="false" outlineLevel="0" collapsed="false">
      <c r="A9" s="10" t="s">
        <v>250</v>
      </c>
      <c r="B9" s="20" t="n">
        <f aca="false">IFERROR(B5/B4,0)</f>
        <v>0</v>
      </c>
    </row>
    <row r="11" customFormat="false" ht="15" hidden="false" customHeight="false" outlineLevel="0" collapsed="false">
      <c r="A11" s="21" t="s">
        <v>2</v>
      </c>
      <c r="B11" s="21" t="s">
        <v>251</v>
      </c>
      <c r="C11" s="21" t="s">
        <v>252</v>
      </c>
      <c r="D11" s="21" t="s">
        <v>247</v>
      </c>
      <c r="E11" s="21" t="s">
        <v>253</v>
      </c>
    </row>
    <row r="12" customFormat="false" ht="15" hidden="false" customHeight="false" outlineLevel="0" collapsed="false">
      <c r="A12" s="3" t="s">
        <v>12</v>
      </c>
      <c r="B12" s="4" t="s">
        <v>254</v>
      </c>
      <c r="C12" s="3" t="n">
        <f aca="false">COUNTIF(Yapılacaklar!B3:B65,"Faz 0")</f>
        <v>9</v>
      </c>
      <c r="D12" s="3" t="n">
        <f aca="false">COUNTIFS(Yapılacaklar!B3:B65,"Faz 0",Yapılacaklar!I3:I65,"Tamam")</f>
        <v>0</v>
      </c>
      <c r="E12" s="22" t="n">
        <f aca="false">IFERROR(D12/C12,0)</f>
        <v>0</v>
      </c>
    </row>
    <row r="13" customFormat="false" ht="15" hidden="false" customHeight="false" outlineLevel="0" collapsed="false">
      <c r="A13" s="6" t="s">
        <v>53</v>
      </c>
      <c r="B13" s="7" t="s">
        <v>255</v>
      </c>
      <c r="C13" s="6" t="n">
        <f aca="false">COUNTIF(Yapılacaklar!B3:B65,"Faz 1")</f>
        <v>11</v>
      </c>
      <c r="D13" s="6" t="n">
        <f aca="false">COUNTIFS(Yapılacaklar!B3:B65,"Faz 1",Yapılacaklar!I3:I65,"Tamam")</f>
        <v>0</v>
      </c>
      <c r="E13" s="23" t="n">
        <f aca="false">IFERROR(D13/C13,0)</f>
        <v>0</v>
      </c>
    </row>
    <row r="14" customFormat="false" ht="15" hidden="false" customHeight="false" outlineLevel="0" collapsed="false">
      <c r="A14" s="3" t="s">
        <v>90</v>
      </c>
      <c r="B14" s="4" t="s">
        <v>256</v>
      </c>
      <c r="C14" s="3" t="n">
        <f aca="false">COUNTIF(Yapılacaklar!B3:B65,"Faz 2")</f>
        <v>6</v>
      </c>
      <c r="D14" s="3" t="n">
        <f aca="false">COUNTIFS(Yapılacaklar!B3:B65,"Faz 2",Yapılacaklar!I3:I65,"Tamam")</f>
        <v>0</v>
      </c>
      <c r="E14" s="22" t="n">
        <f aca="false">IFERROR(D14/C14,0)</f>
        <v>0</v>
      </c>
    </row>
    <row r="15" customFormat="false" ht="15" hidden="false" customHeight="false" outlineLevel="0" collapsed="false">
      <c r="A15" s="6" t="s">
        <v>114</v>
      </c>
      <c r="B15" s="7" t="s">
        <v>257</v>
      </c>
      <c r="C15" s="6" t="n">
        <f aca="false">COUNTIF(Yapılacaklar!B3:B65,"Faz 3")</f>
        <v>7</v>
      </c>
      <c r="D15" s="6" t="n">
        <f aca="false">COUNTIFS(Yapılacaklar!B3:B65,"Faz 3",Yapılacaklar!I3:I65,"Tamam")</f>
        <v>0</v>
      </c>
      <c r="E15" s="23" t="n">
        <f aca="false">IFERROR(D15/C15,0)</f>
        <v>0</v>
      </c>
    </row>
    <row r="16" customFormat="false" ht="15" hidden="false" customHeight="false" outlineLevel="0" collapsed="false">
      <c r="A16" s="3" t="s">
        <v>139</v>
      </c>
      <c r="B16" s="4" t="s">
        <v>258</v>
      </c>
      <c r="C16" s="3" t="n">
        <f aca="false">COUNTIF(Yapılacaklar!B3:B65,"Faz 4")</f>
        <v>6</v>
      </c>
      <c r="D16" s="3" t="n">
        <f aca="false">COUNTIFS(Yapılacaklar!B3:B65,"Faz 4",Yapılacaklar!I3:I65,"Tamam")</f>
        <v>0</v>
      </c>
      <c r="E16" s="22" t="n">
        <f aca="false">IFERROR(D16/C16,0)</f>
        <v>0</v>
      </c>
    </row>
    <row r="17" customFormat="false" ht="15" hidden="false" customHeight="false" outlineLevel="0" collapsed="false">
      <c r="A17" s="6" t="s">
        <v>161</v>
      </c>
      <c r="B17" s="7" t="s">
        <v>259</v>
      </c>
      <c r="C17" s="6" t="n">
        <f aca="false">COUNTIF(Yapılacaklar!B3:B65,"Faz 5")</f>
        <v>4</v>
      </c>
      <c r="D17" s="6" t="n">
        <f aca="false">COUNTIFS(Yapılacaklar!B3:B65,"Faz 5",Yapılacaklar!I3:I65,"Tamam")</f>
        <v>0</v>
      </c>
      <c r="E17" s="23" t="n">
        <f aca="false">IFERROR(D17/C17,0)</f>
        <v>0</v>
      </c>
    </row>
    <row r="18" customFormat="false" ht="15" hidden="false" customHeight="false" outlineLevel="0" collapsed="false">
      <c r="A18" s="3" t="s">
        <v>175</v>
      </c>
      <c r="B18" s="4" t="s">
        <v>260</v>
      </c>
      <c r="C18" s="3" t="n">
        <f aca="false">COUNTIF(Yapılacaklar!B3:B65,"Faz 6")</f>
        <v>4</v>
      </c>
      <c r="D18" s="3" t="n">
        <f aca="false">COUNTIFS(Yapılacaklar!B3:B65,"Faz 6",Yapılacaklar!I3:I65,"Tamam")</f>
        <v>0</v>
      </c>
      <c r="E18" s="22" t="n">
        <f aca="false">IFERROR(D18/C18,0)</f>
        <v>0</v>
      </c>
    </row>
    <row r="19" customFormat="false" ht="15" hidden="false" customHeight="false" outlineLevel="0" collapsed="false">
      <c r="A19" s="6" t="s">
        <v>189</v>
      </c>
      <c r="B19" s="7" t="s">
        <v>261</v>
      </c>
      <c r="C19" s="6" t="n">
        <f aca="false">COUNTIF(Yapılacaklar!B3:B65,"Faz 7")</f>
        <v>7</v>
      </c>
      <c r="D19" s="6" t="n">
        <f aca="false">COUNTIFS(Yapılacaklar!B3:B65,"Faz 7",Yapılacaklar!I3:I65,"Tamam")</f>
        <v>0</v>
      </c>
      <c r="E19" s="23" t="n">
        <f aca="false">IFERROR(D19/C19,0)</f>
        <v>0</v>
      </c>
    </row>
    <row r="20" customFormat="false" ht="15" hidden="false" customHeight="false" outlineLevel="0" collapsed="false">
      <c r="A20" s="3" t="s">
        <v>213</v>
      </c>
      <c r="B20" s="4" t="s">
        <v>262</v>
      </c>
      <c r="C20" s="3" t="n">
        <f aca="false">COUNTIF(Yapılacaklar!B3:B65,"Faz 8")</f>
        <v>9</v>
      </c>
      <c r="D20" s="3" t="n">
        <f aca="false">COUNTIFS(Yapılacaklar!B3:B65,"Faz 8",Yapılacaklar!I3:I65,"Tamam")</f>
        <v>0</v>
      </c>
      <c r="E20" s="22" t="n">
        <f aca="false">IFERROR(D20/C20,0)</f>
        <v>0</v>
      </c>
    </row>
    <row r="21" customFormat="false" ht="15" hidden="false" customHeight="false" outlineLevel="0" collapsed="false">
      <c r="A21" s="24" t="s">
        <v>252</v>
      </c>
      <c r="B21" s="25"/>
      <c r="C21" s="24" t="n">
        <f aca="false">SUM(C12:C20)</f>
        <v>63</v>
      </c>
      <c r="D21" s="24" t="n">
        <f aca="false">SUM(D12:D20)</f>
        <v>0</v>
      </c>
      <c r="E21" s="26" t="n">
        <f aca="false">IFERROR(D21/C21,0)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" t="s">
        <v>263</v>
      </c>
      <c r="B1" s="1"/>
      <c r="C1" s="1"/>
      <c r="D1" s="1"/>
    </row>
    <row r="2" customFormat="false" ht="15" hidden="false" customHeight="false" outlineLevel="0" collapsed="false">
      <c r="A2" s="21" t="s">
        <v>2</v>
      </c>
      <c r="B2" s="21" t="s">
        <v>251</v>
      </c>
      <c r="C2" s="21" t="s">
        <v>264</v>
      </c>
      <c r="D2" s="21" t="s">
        <v>9</v>
      </c>
    </row>
    <row r="3" customFormat="false" ht="15" hidden="false" customHeight="false" outlineLevel="0" collapsed="false">
      <c r="A3" s="3" t="s">
        <v>12</v>
      </c>
      <c r="B3" s="4" t="s">
        <v>254</v>
      </c>
      <c r="C3" s="27" t="s">
        <v>265</v>
      </c>
      <c r="D3" s="3" t="s">
        <v>18</v>
      </c>
    </row>
    <row r="4" customFormat="false" ht="15" hidden="false" customHeight="false" outlineLevel="0" collapsed="false">
      <c r="A4" s="6" t="s">
        <v>53</v>
      </c>
      <c r="B4" s="7" t="s">
        <v>266</v>
      </c>
      <c r="C4" s="28" t="s">
        <v>267</v>
      </c>
      <c r="D4" s="6" t="s">
        <v>18</v>
      </c>
    </row>
    <row r="5" customFormat="false" ht="15" hidden="false" customHeight="false" outlineLevel="0" collapsed="false">
      <c r="A5" s="3" t="s">
        <v>90</v>
      </c>
      <c r="B5" s="4" t="s">
        <v>268</v>
      </c>
      <c r="C5" s="27" t="s">
        <v>269</v>
      </c>
      <c r="D5" s="3" t="s">
        <v>18</v>
      </c>
    </row>
    <row r="6" customFormat="false" ht="15" hidden="false" customHeight="false" outlineLevel="0" collapsed="false">
      <c r="A6" s="6" t="s">
        <v>114</v>
      </c>
      <c r="B6" s="7" t="s">
        <v>270</v>
      </c>
      <c r="C6" s="28" t="s">
        <v>271</v>
      </c>
      <c r="D6" s="6" t="s">
        <v>18</v>
      </c>
    </row>
    <row r="7" customFormat="false" ht="15" hidden="false" customHeight="false" outlineLevel="0" collapsed="false">
      <c r="A7" s="3" t="s">
        <v>139</v>
      </c>
      <c r="B7" s="4" t="s">
        <v>258</v>
      </c>
      <c r="C7" s="27" t="s">
        <v>272</v>
      </c>
      <c r="D7" s="3" t="s">
        <v>18</v>
      </c>
    </row>
    <row r="8" customFormat="false" ht="15" hidden="false" customHeight="false" outlineLevel="0" collapsed="false">
      <c r="A8" s="6" t="s">
        <v>161</v>
      </c>
      <c r="B8" s="7" t="s">
        <v>273</v>
      </c>
      <c r="C8" s="28" t="s">
        <v>274</v>
      </c>
      <c r="D8" s="6" t="s">
        <v>18</v>
      </c>
    </row>
    <row r="9" customFormat="false" ht="15" hidden="false" customHeight="false" outlineLevel="0" collapsed="false">
      <c r="A9" s="3" t="s">
        <v>175</v>
      </c>
      <c r="B9" s="4" t="s">
        <v>275</v>
      </c>
      <c r="C9" s="27" t="s">
        <v>276</v>
      </c>
      <c r="D9" s="3" t="s">
        <v>18</v>
      </c>
    </row>
    <row r="10" customFormat="false" ht="15" hidden="false" customHeight="false" outlineLevel="0" collapsed="false">
      <c r="A10" s="6" t="s">
        <v>189</v>
      </c>
      <c r="B10" s="7" t="s">
        <v>277</v>
      </c>
      <c r="C10" s="28" t="s">
        <v>278</v>
      </c>
      <c r="D10" s="6" t="s">
        <v>18</v>
      </c>
    </row>
    <row r="11" customFormat="false" ht="15" hidden="false" customHeight="false" outlineLevel="0" collapsed="false">
      <c r="A11" s="3" t="s">
        <v>213</v>
      </c>
      <c r="B11" s="4" t="s">
        <v>279</v>
      </c>
      <c r="C11" s="27" t="s">
        <v>280</v>
      </c>
      <c r="D11" s="3" t="s">
        <v>18</v>
      </c>
    </row>
  </sheetData>
  <mergeCells count="1">
    <mergeCell ref="A1:D1"/>
  </mergeCells>
  <conditionalFormatting sqref="D3:D11">
    <cfRule type="cellIs" priority="2" operator="equal" aboveAverage="0" equalAverage="0" bottom="0" percent="0" rank="0" text="" dxfId="7">
      <formula>"Tamam"</formula>
    </cfRule>
    <cfRule type="cellIs" priority="3" operator="equal" aboveAverage="0" equalAverage="0" bottom="0" percent="0" rank="0" text="" dxfId="8">
      <formula>"Devam ediyor"</formula>
    </cfRule>
    <cfRule type="cellIs" priority="4" operator="equal" aboveAverage="0" equalAverage="0" bottom="0" percent="0" rank="0" text="" dxfId="11">
      <formula>"Bloke"</formula>
    </cfRule>
    <cfRule type="cellIs" priority="5" operator="equal" aboveAverage="0" equalAverage="0" bottom="0" percent="0" rank="0" text="" dxfId="10">
      <formula>"Yapılacak"</formula>
    </cfRule>
  </conditionalFormatting>
  <dataValidations count="1">
    <dataValidation allowBlank="true" errorStyle="stop" operator="between" showDropDown="false" showErrorMessage="false" showInputMessage="false" sqref="D3:D11" type="list">
      <formula1>"Yapılacak,Devam ediyor,Bloke,Tamam"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2026-07-10T19:10:17Z</dcterms:created>
  <dc:creator>openpyxl</dc:creator>
  <dc:description/>
  <dc:language>en-US</dc:language>
  <cp:lastModifiedBy/>
  <dcterms:modified xsi:type="dcterms:W3CDTF">2026-07-10T19:10:17Z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